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/Users/zackhatlen/Desktop/"/>
    </mc:Choice>
  </mc:AlternateContent>
  <xr:revisionPtr revIDLastSave="0" documentId="13_ncr:1_{F68D277E-D43C-2E42-AC8A-3D7300388920}" xr6:coauthVersionLast="47" xr6:coauthVersionMax="47" xr10:uidLastSave="{00000000-0000-0000-0000-000000000000}"/>
  <bookViews>
    <workbookView xWindow="-8540" yWindow="-28300" windowWidth="51200" windowHeight="28300" xr2:uid="{D4FA83D1-2326-F344-99AA-8FB50CEAC628}"/>
  </bookViews>
  <sheets>
    <sheet name="products" sheetId="1" r:id="rId1"/>
    <sheet name="formules" sheetId="2" r:id="rId2"/>
    <sheet name="variable" sheetId="3" r:id="rId3"/>
    <sheet name="variation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D213" i="4" s="1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2" i="2"/>
  <c r="G1001" i="4"/>
  <c r="F1001" i="4"/>
  <c r="D1001" i="4"/>
  <c r="G1000" i="4"/>
  <c r="F1000" i="4"/>
  <c r="D1000" i="4"/>
  <c r="G999" i="4"/>
  <c r="F999" i="4"/>
  <c r="D999" i="4"/>
  <c r="G998" i="4"/>
  <c r="F998" i="4"/>
  <c r="D998" i="4"/>
  <c r="G997" i="4"/>
  <c r="F997" i="4"/>
  <c r="D997" i="4"/>
  <c r="G996" i="4"/>
  <c r="F996" i="4"/>
  <c r="D996" i="4"/>
  <c r="G995" i="4"/>
  <c r="F995" i="4"/>
  <c r="D995" i="4"/>
  <c r="G994" i="4"/>
  <c r="F994" i="4"/>
  <c r="D994" i="4"/>
  <c r="G993" i="4"/>
  <c r="F993" i="4"/>
  <c r="D993" i="4"/>
  <c r="G992" i="4"/>
  <c r="F992" i="4"/>
  <c r="D992" i="4"/>
  <c r="G991" i="4"/>
  <c r="F991" i="4"/>
  <c r="D991" i="4"/>
  <c r="G990" i="4"/>
  <c r="F990" i="4"/>
  <c r="D990" i="4"/>
  <c r="G989" i="4"/>
  <c r="F989" i="4"/>
  <c r="D989" i="4"/>
  <c r="G988" i="4"/>
  <c r="F988" i="4"/>
  <c r="D988" i="4"/>
  <c r="G987" i="4"/>
  <c r="F987" i="4"/>
  <c r="D987" i="4"/>
  <c r="G986" i="4"/>
  <c r="F986" i="4"/>
  <c r="D986" i="4"/>
  <c r="G985" i="4"/>
  <c r="F985" i="4"/>
  <c r="D985" i="4"/>
  <c r="G984" i="4"/>
  <c r="F984" i="4"/>
  <c r="D984" i="4"/>
  <c r="G983" i="4"/>
  <c r="F983" i="4"/>
  <c r="D983" i="4"/>
  <c r="G982" i="4"/>
  <c r="F982" i="4"/>
  <c r="D982" i="4"/>
  <c r="G981" i="4"/>
  <c r="F981" i="4"/>
  <c r="D981" i="4"/>
  <c r="G980" i="4"/>
  <c r="F980" i="4"/>
  <c r="D980" i="4"/>
  <c r="G979" i="4"/>
  <c r="F979" i="4"/>
  <c r="D979" i="4"/>
  <c r="G978" i="4"/>
  <c r="F978" i="4"/>
  <c r="D978" i="4"/>
  <c r="G977" i="4"/>
  <c r="F977" i="4"/>
  <c r="D977" i="4"/>
  <c r="G976" i="4"/>
  <c r="F976" i="4"/>
  <c r="D976" i="4"/>
  <c r="G975" i="4"/>
  <c r="F975" i="4"/>
  <c r="D975" i="4"/>
  <c r="G974" i="4"/>
  <c r="F974" i="4"/>
  <c r="D974" i="4"/>
  <c r="G973" i="4"/>
  <c r="F973" i="4"/>
  <c r="D973" i="4"/>
  <c r="G972" i="4"/>
  <c r="F972" i="4"/>
  <c r="D972" i="4"/>
  <c r="G971" i="4"/>
  <c r="F971" i="4"/>
  <c r="D971" i="4"/>
  <c r="G970" i="4"/>
  <c r="F970" i="4"/>
  <c r="D970" i="4"/>
  <c r="G969" i="4"/>
  <c r="F969" i="4"/>
  <c r="D969" i="4"/>
  <c r="G968" i="4"/>
  <c r="F968" i="4"/>
  <c r="D968" i="4"/>
  <c r="G967" i="4"/>
  <c r="F967" i="4"/>
  <c r="D967" i="4"/>
  <c r="G966" i="4"/>
  <c r="F966" i="4"/>
  <c r="D966" i="4"/>
  <c r="G965" i="4"/>
  <c r="F965" i="4"/>
  <c r="D965" i="4"/>
  <c r="G964" i="4"/>
  <c r="F964" i="4"/>
  <c r="D964" i="4"/>
  <c r="G963" i="4"/>
  <c r="F963" i="4"/>
  <c r="D963" i="4"/>
  <c r="G962" i="4"/>
  <c r="F962" i="4"/>
  <c r="D962" i="4"/>
  <c r="G961" i="4"/>
  <c r="F961" i="4"/>
  <c r="D961" i="4"/>
  <c r="G960" i="4"/>
  <c r="F960" i="4"/>
  <c r="D960" i="4"/>
  <c r="G959" i="4"/>
  <c r="F959" i="4"/>
  <c r="D959" i="4"/>
  <c r="G958" i="4"/>
  <c r="F958" i="4"/>
  <c r="D958" i="4"/>
  <c r="G957" i="4"/>
  <c r="F957" i="4"/>
  <c r="D957" i="4"/>
  <c r="G956" i="4"/>
  <c r="F956" i="4"/>
  <c r="D956" i="4"/>
  <c r="G955" i="4"/>
  <c r="F955" i="4"/>
  <c r="D955" i="4"/>
  <c r="G954" i="4"/>
  <c r="F954" i="4"/>
  <c r="D954" i="4"/>
  <c r="G953" i="4"/>
  <c r="F953" i="4"/>
  <c r="D953" i="4"/>
  <c r="G952" i="4"/>
  <c r="F952" i="4"/>
  <c r="D952" i="4"/>
  <c r="G951" i="4"/>
  <c r="F951" i="4"/>
  <c r="D951" i="4"/>
  <c r="G950" i="4"/>
  <c r="F950" i="4"/>
  <c r="D950" i="4"/>
  <c r="G949" i="4"/>
  <c r="F949" i="4"/>
  <c r="D949" i="4"/>
  <c r="G948" i="4"/>
  <c r="F948" i="4"/>
  <c r="D948" i="4"/>
  <c r="G947" i="4"/>
  <c r="F947" i="4"/>
  <c r="D947" i="4"/>
  <c r="G946" i="4"/>
  <c r="F946" i="4"/>
  <c r="D946" i="4"/>
  <c r="G945" i="4"/>
  <c r="F945" i="4"/>
  <c r="D945" i="4"/>
  <c r="G944" i="4"/>
  <c r="F944" i="4"/>
  <c r="D944" i="4"/>
  <c r="G943" i="4"/>
  <c r="F943" i="4"/>
  <c r="D943" i="4"/>
  <c r="G942" i="4"/>
  <c r="F942" i="4"/>
  <c r="D942" i="4"/>
  <c r="G941" i="4"/>
  <c r="F941" i="4"/>
  <c r="D941" i="4"/>
  <c r="G940" i="4"/>
  <c r="F940" i="4"/>
  <c r="D940" i="4"/>
  <c r="G939" i="4"/>
  <c r="F939" i="4"/>
  <c r="D939" i="4"/>
  <c r="G938" i="4"/>
  <c r="F938" i="4"/>
  <c r="D938" i="4"/>
  <c r="G937" i="4"/>
  <c r="F937" i="4"/>
  <c r="D937" i="4"/>
  <c r="G936" i="4"/>
  <c r="F936" i="4"/>
  <c r="D936" i="4"/>
  <c r="G935" i="4"/>
  <c r="F935" i="4"/>
  <c r="D935" i="4"/>
  <c r="G934" i="4"/>
  <c r="F934" i="4"/>
  <c r="D934" i="4"/>
  <c r="G933" i="4"/>
  <c r="F933" i="4"/>
  <c r="D933" i="4"/>
  <c r="G932" i="4"/>
  <c r="F932" i="4"/>
  <c r="D932" i="4"/>
  <c r="G931" i="4"/>
  <c r="F931" i="4"/>
  <c r="D931" i="4"/>
  <c r="G930" i="4"/>
  <c r="F930" i="4"/>
  <c r="D930" i="4"/>
  <c r="G929" i="4"/>
  <c r="F929" i="4"/>
  <c r="D929" i="4"/>
  <c r="G928" i="4"/>
  <c r="F928" i="4"/>
  <c r="D928" i="4"/>
  <c r="G927" i="4"/>
  <c r="F927" i="4"/>
  <c r="D927" i="4"/>
  <c r="G926" i="4"/>
  <c r="F926" i="4"/>
  <c r="D926" i="4"/>
  <c r="G925" i="4"/>
  <c r="F925" i="4"/>
  <c r="D925" i="4"/>
  <c r="G924" i="4"/>
  <c r="F924" i="4"/>
  <c r="D924" i="4"/>
  <c r="G923" i="4"/>
  <c r="F923" i="4"/>
  <c r="D923" i="4"/>
  <c r="G922" i="4"/>
  <c r="F922" i="4"/>
  <c r="D922" i="4"/>
  <c r="G921" i="4"/>
  <c r="F921" i="4"/>
  <c r="D921" i="4"/>
  <c r="G920" i="4"/>
  <c r="F920" i="4"/>
  <c r="D920" i="4"/>
  <c r="G919" i="4"/>
  <c r="F919" i="4"/>
  <c r="D919" i="4"/>
  <c r="G918" i="4"/>
  <c r="F918" i="4"/>
  <c r="D918" i="4"/>
  <c r="G917" i="4"/>
  <c r="F917" i="4"/>
  <c r="D917" i="4"/>
  <c r="G916" i="4"/>
  <c r="F916" i="4"/>
  <c r="D916" i="4"/>
  <c r="G915" i="4"/>
  <c r="F915" i="4"/>
  <c r="D915" i="4"/>
  <c r="G914" i="4"/>
  <c r="F914" i="4"/>
  <c r="D914" i="4"/>
  <c r="G913" i="4"/>
  <c r="F913" i="4"/>
  <c r="D913" i="4"/>
  <c r="G912" i="4"/>
  <c r="F912" i="4"/>
  <c r="D912" i="4"/>
  <c r="G911" i="4"/>
  <c r="F911" i="4"/>
  <c r="D911" i="4"/>
  <c r="G910" i="4"/>
  <c r="F910" i="4"/>
  <c r="D910" i="4"/>
  <c r="G909" i="4"/>
  <c r="F909" i="4"/>
  <c r="D909" i="4"/>
  <c r="G908" i="4"/>
  <c r="F908" i="4"/>
  <c r="D908" i="4"/>
  <c r="G907" i="4"/>
  <c r="F907" i="4"/>
  <c r="D907" i="4"/>
  <c r="G906" i="4"/>
  <c r="F906" i="4"/>
  <c r="D906" i="4"/>
  <c r="G905" i="4"/>
  <c r="F905" i="4"/>
  <c r="D905" i="4"/>
  <c r="G904" i="4"/>
  <c r="F904" i="4"/>
  <c r="D904" i="4"/>
  <c r="G903" i="4"/>
  <c r="F903" i="4"/>
  <c r="D903" i="4"/>
  <c r="G902" i="4"/>
  <c r="F902" i="4"/>
  <c r="D902" i="4"/>
  <c r="G901" i="4"/>
  <c r="F901" i="4"/>
  <c r="D901" i="4"/>
  <c r="G900" i="4"/>
  <c r="F900" i="4"/>
  <c r="D900" i="4"/>
  <c r="G899" i="4"/>
  <c r="F899" i="4"/>
  <c r="D899" i="4"/>
  <c r="G898" i="4"/>
  <c r="F898" i="4"/>
  <c r="D898" i="4"/>
  <c r="G897" i="4"/>
  <c r="F897" i="4"/>
  <c r="D897" i="4"/>
  <c r="G896" i="4"/>
  <c r="F896" i="4"/>
  <c r="D896" i="4"/>
  <c r="G895" i="4"/>
  <c r="F895" i="4"/>
  <c r="D895" i="4"/>
  <c r="G894" i="4"/>
  <c r="F894" i="4"/>
  <c r="D894" i="4"/>
  <c r="G893" i="4"/>
  <c r="F893" i="4"/>
  <c r="D893" i="4"/>
  <c r="G892" i="4"/>
  <c r="F892" i="4"/>
  <c r="D892" i="4"/>
  <c r="G891" i="4"/>
  <c r="F891" i="4"/>
  <c r="D891" i="4"/>
  <c r="G890" i="4"/>
  <c r="F890" i="4"/>
  <c r="D890" i="4"/>
  <c r="G889" i="4"/>
  <c r="F889" i="4"/>
  <c r="D889" i="4"/>
  <c r="G888" i="4"/>
  <c r="F888" i="4"/>
  <c r="D888" i="4"/>
  <c r="G887" i="4"/>
  <c r="F887" i="4"/>
  <c r="D887" i="4"/>
  <c r="G886" i="4"/>
  <c r="F886" i="4"/>
  <c r="D886" i="4"/>
  <c r="G885" i="4"/>
  <c r="F885" i="4"/>
  <c r="D885" i="4"/>
  <c r="G884" i="4"/>
  <c r="F884" i="4"/>
  <c r="D884" i="4"/>
  <c r="G883" i="4"/>
  <c r="F883" i="4"/>
  <c r="D883" i="4"/>
  <c r="G882" i="4"/>
  <c r="F882" i="4"/>
  <c r="D882" i="4"/>
  <c r="G881" i="4"/>
  <c r="F881" i="4"/>
  <c r="D881" i="4"/>
  <c r="G880" i="4"/>
  <c r="F880" i="4"/>
  <c r="D880" i="4"/>
  <c r="G879" i="4"/>
  <c r="F879" i="4"/>
  <c r="D879" i="4"/>
  <c r="G878" i="4"/>
  <c r="F878" i="4"/>
  <c r="D878" i="4"/>
  <c r="G877" i="4"/>
  <c r="F877" i="4"/>
  <c r="D877" i="4"/>
  <c r="G876" i="4"/>
  <c r="F876" i="4"/>
  <c r="D876" i="4"/>
  <c r="G875" i="4"/>
  <c r="F875" i="4"/>
  <c r="D875" i="4"/>
  <c r="G874" i="4"/>
  <c r="F874" i="4"/>
  <c r="D874" i="4"/>
  <c r="G873" i="4"/>
  <c r="F873" i="4"/>
  <c r="D873" i="4"/>
  <c r="G872" i="4"/>
  <c r="F872" i="4"/>
  <c r="D872" i="4"/>
  <c r="G871" i="4"/>
  <c r="F871" i="4"/>
  <c r="D871" i="4"/>
  <c r="G870" i="4"/>
  <c r="F870" i="4"/>
  <c r="D870" i="4"/>
  <c r="G869" i="4"/>
  <c r="F869" i="4"/>
  <c r="D869" i="4"/>
  <c r="G868" i="4"/>
  <c r="F868" i="4"/>
  <c r="D868" i="4"/>
  <c r="G867" i="4"/>
  <c r="F867" i="4"/>
  <c r="D867" i="4"/>
  <c r="G866" i="4"/>
  <c r="F866" i="4"/>
  <c r="D866" i="4"/>
  <c r="G865" i="4"/>
  <c r="F865" i="4"/>
  <c r="D865" i="4"/>
  <c r="G864" i="4"/>
  <c r="F864" i="4"/>
  <c r="D864" i="4"/>
  <c r="G863" i="4"/>
  <c r="F863" i="4"/>
  <c r="D863" i="4"/>
  <c r="G862" i="4"/>
  <c r="F862" i="4"/>
  <c r="D862" i="4"/>
  <c r="G861" i="4"/>
  <c r="F861" i="4"/>
  <c r="D861" i="4"/>
  <c r="G860" i="4"/>
  <c r="F860" i="4"/>
  <c r="D860" i="4"/>
  <c r="G859" i="4"/>
  <c r="F859" i="4"/>
  <c r="D859" i="4"/>
  <c r="G858" i="4"/>
  <c r="F858" i="4"/>
  <c r="D858" i="4"/>
  <c r="G857" i="4"/>
  <c r="F857" i="4"/>
  <c r="D857" i="4"/>
  <c r="G856" i="4"/>
  <c r="F856" i="4"/>
  <c r="D856" i="4"/>
  <c r="G855" i="4"/>
  <c r="F855" i="4"/>
  <c r="D855" i="4"/>
  <c r="G854" i="4"/>
  <c r="F854" i="4"/>
  <c r="D854" i="4"/>
  <c r="G853" i="4"/>
  <c r="F853" i="4"/>
  <c r="D853" i="4"/>
  <c r="G852" i="4"/>
  <c r="F852" i="4"/>
  <c r="D852" i="4"/>
  <c r="G851" i="4"/>
  <c r="F851" i="4"/>
  <c r="D851" i="4"/>
  <c r="G850" i="4"/>
  <c r="F850" i="4"/>
  <c r="D850" i="4"/>
  <c r="G849" i="4"/>
  <c r="F849" i="4"/>
  <c r="D849" i="4"/>
  <c r="G848" i="4"/>
  <c r="F848" i="4"/>
  <c r="D848" i="4"/>
  <c r="G847" i="4"/>
  <c r="F847" i="4"/>
  <c r="D847" i="4"/>
  <c r="G846" i="4"/>
  <c r="F846" i="4"/>
  <c r="D846" i="4"/>
  <c r="G845" i="4"/>
  <c r="F845" i="4"/>
  <c r="D845" i="4"/>
  <c r="G844" i="4"/>
  <c r="F844" i="4"/>
  <c r="D844" i="4"/>
  <c r="G843" i="4"/>
  <c r="F843" i="4"/>
  <c r="D843" i="4"/>
  <c r="G842" i="4"/>
  <c r="F842" i="4"/>
  <c r="D842" i="4"/>
  <c r="G841" i="4"/>
  <c r="F841" i="4"/>
  <c r="D841" i="4"/>
  <c r="G840" i="4"/>
  <c r="F840" i="4"/>
  <c r="D840" i="4"/>
  <c r="G839" i="4"/>
  <c r="F839" i="4"/>
  <c r="D839" i="4"/>
  <c r="G838" i="4"/>
  <c r="F838" i="4"/>
  <c r="D838" i="4"/>
  <c r="G837" i="4"/>
  <c r="F837" i="4"/>
  <c r="D837" i="4"/>
  <c r="G836" i="4"/>
  <c r="F836" i="4"/>
  <c r="D836" i="4"/>
  <c r="G835" i="4"/>
  <c r="F835" i="4"/>
  <c r="D835" i="4"/>
  <c r="G834" i="4"/>
  <c r="F834" i="4"/>
  <c r="D834" i="4"/>
  <c r="G833" i="4"/>
  <c r="F833" i="4"/>
  <c r="D833" i="4"/>
  <c r="G832" i="4"/>
  <c r="F832" i="4"/>
  <c r="D832" i="4"/>
  <c r="G831" i="4"/>
  <c r="F831" i="4"/>
  <c r="D831" i="4"/>
  <c r="G830" i="4"/>
  <c r="F830" i="4"/>
  <c r="D830" i="4"/>
  <c r="G829" i="4"/>
  <c r="F829" i="4"/>
  <c r="D829" i="4"/>
  <c r="G828" i="4"/>
  <c r="F828" i="4"/>
  <c r="D828" i="4"/>
  <c r="G827" i="4"/>
  <c r="F827" i="4"/>
  <c r="D827" i="4"/>
  <c r="G826" i="4"/>
  <c r="F826" i="4"/>
  <c r="D826" i="4"/>
  <c r="G825" i="4"/>
  <c r="F825" i="4"/>
  <c r="D825" i="4"/>
  <c r="G824" i="4"/>
  <c r="F824" i="4"/>
  <c r="D824" i="4"/>
  <c r="G823" i="4"/>
  <c r="F823" i="4"/>
  <c r="D823" i="4"/>
  <c r="G822" i="4"/>
  <c r="F822" i="4"/>
  <c r="D822" i="4"/>
  <c r="G821" i="4"/>
  <c r="F821" i="4"/>
  <c r="D821" i="4"/>
  <c r="G820" i="4"/>
  <c r="F820" i="4"/>
  <c r="D820" i="4"/>
  <c r="G819" i="4"/>
  <c r="F819" i="4"/>
  <c r="D819" i="4"/>
  <c r="G818" i="4"/>
  <c r="F818" i="4"/>
  <c r="D818" i="4"/>
  <c r="G817" i="4"/>
  <c r="F817" i="4"/>
  <c r="D817" i="4"/>
  <c r="G816" i="4"/>
  <c r="F816" i="4"/>
  <c r="D816" i="4"/>
  <c r="G815" i="4"/>
  <c r="F815" i="4"/>
  <c r="D815" i="4"/>
  <c r="G814" i="4"/>
  <c r="F814" i="4"/>
  <c r="D814" i="4"/>
  <c r="G813" i="4"/>
  <c r="F813" i="4"/>
  <c r="D813" i="4"/>
  <c r="G812" i="4"/>
  <c r="F812" i="4"/>
  <c r="D812" i="4"/>
  <c r="G811" i="4"/>
  <c r="F811" i="4"/>
  <c r="D811" i="4"/>
  <c r="G810" i="4"/>
  <c r="F810" i="4"/>
  <c r="D810" i="4"/>
  <c r="G809" i="4"/>
  <c r="F809" i="4"/>
  <c r="D809" i="4"/>
  <c r="G808" i="4"/>
  <c r="F808" i="4"/>
  <c r="D808" i="4"/>
  <c r="G807" i="4"/>
  <c r="F807" i="4"/>
  <c r="D807" i="4"/>
  <c r="G806" i="4"/>
  <c r="F806" i="4"/>
  <c r="D806" i="4"/>
  <c r="G805" i="4"/>
  <c r="F805" i="4"/>
  <c r="D805" i="4"/>
  <c r="G804" i="4"/>
  <c r="F804" i="4"/>
  <c r="D804" i="4"/>
  <c r="G803" i="4"/>
  <c r="F803" i="4"/>
  <c r="D803" i="4"/>
  <c r="G802" i="4"/>
  <c r="F802" i="4"/>
  <c r="D802" i="4"/>
  <c r="G801" i="4"/>
  <c r="F801" i="4"/>
  <c r="D801" i="4"/>
  <c r="G800" i="4"/>
  <c r="F800" i="4"/>
  <c r="D800" i="4"/>
  <c r="G799" i="4"/>
  <c r="F799" i="4"/>
  <c r="D799" i="4"/>
  <c r="G798" i="4"/>
  <c r="F798" i="4"/>
  <c r="D798" i="4"/>
  <c r="G797" i="4"/>
  <c r="F797" i="4"/>
  <c r="D797" i="4"/>
  <c r="G796" i="4"/>
  <c r="F796" i="4"/>
  <c r="D796" i="4"/>
  <c r="G795" i="4"/>
  <c r="F795" i="4"/>
  <c r="D795" i="4"/>
  <c r="G794" i="4"/>
  <c r="F794" i="4"/>
  <c r="D794" i="4"/>
  <c r="G793" i="4"/>
  <c r="F793" i="4"/>
  <c r="D793" i="4"/>
  <c r="G792" i="4"/>
  <c r="F792" i="4"/>
  <c r="D792" i="4"/>
  <c r="G791" i="4"/>
  <c r="F791" i="4"/>
  <c r="D791" i="4"/>
  <c r="G790" i="4"/>
  <c r="F790" i="4"/>
  <c r="D790" i="4"/>
  <c r="G789" i="4"/>
  <c r="F789" i="4"/>
  <c r="D789" i="4"/>
  <c r="G788" i="4"/>
  <c r="F788" i="4"/>
  <c r="D788" i="4"/>
  <c r="G787" i="4"/>
  <c r="F787" i="4"/>
  <c r="D787" i="4"/>
  <c r="G786" i="4"/>
  <c r="F786" i="4"/>
  <c r="D786" i="4"/>
  <c r="G785" i="4"/>
  <c r="F785" i="4"/>
  <c r="D785" i="4"/>
  <c r="G784" i="4"/>
  <c r="F784" i="4"/>
  <c r="D784" i="4"/>
  <c r="G783" i="4"/>
  <c r="F783" i="4"/>
  <c r="D783" i="4"/>
  <c r="G782" i="4"/>
  <c r="F782" i="4"/>
  <c r="D782" i="4"/>
  <c r="G781" i="4"/>
  <c r="F781" i="4"/>
  <c r="D781" i="4"/>
  <c r="G780" i="4"/>
  <c r="F780" i="4"/>
  <c r="D780" i="4"/>
  <c r="G779" i="4"/>
  <c r="F779" i="4"/>
  <c r="D779" i="4"/>
  <c r="G778" i="4"/>
  <c r="F778" i="4"/>
  <c r="D778" i="4"/>
  <c r="G777" i="4"/>
  <c r="F777" i="4"/>
  <c r="D777" i="4"/>
  <c r="G776" i="4"/>
  <c r="F776" i="4"/>
  <c r="D776" i="4"/>
  <c r="G775" i="4"/>
  <c r="F775" i="4"/>
  <c r="D775" i="4"/>
  <c r="G774" i="4"/>
  <c r="F774" i="4"/>
  <c r="D774" i="4"/>
  <c r="G773" i="4"/>
  <c r="F773" i="4"/>
  <c r="D773" i="4"/>
  <c r="G772" i="4"/>
  <c r="F772" i="4"/>
  <c r="D772" i="4"/>
  <c r="G771" i="4"/>
  <c r="F771" i="4"/>
  <c r="D771" i="4"/>
  <c r="G770" i="4"/>
  <c r="F770" i="4"/>
  <c r="D770" i="4"/>
  <c r="G769" i="4"/>
  <c r="F769" i="4"/>
  <c r="D769" i="4"/>
  <c r="G768" i="4"/>
  <c r="F768" i="4"/>
  <c r="D768" i="4"/>
  <c r="G767" i="4"/>
  <c r="F767" i="4"/>
  <c r="D767" i="4"/>
  <c r="G766" i="4"/>
  <c r="F766" i="4"/>
  <c r="D766" i="4"/>
  <c r="G765" i="4"/>
  <c r="F765" i="4"/>
  <c r="D765" i="4"/>
  <c r="G764" i="4"/>
  <c r="F764" i="4"/>
  <c r="D764" i="4"/>
  <c r="G763" i="4"/>
  <c r="F763" i="4"/>
  <c r="D763" i="4"/>
  <c r="G762" i="4"/>
  <c r="F762" i="4"/>
  <c r="D762" i="4"/>
  <c r="G761" i="4"/>
  <c r="F761" i="4"/>
  <c r="D761" i="4"/>
  <c r="G760" i="4"/>
  <c r="F760" i="4"/>
  <c r="D760" i="4"/>
  <c r="G759" i="4"/>
  <c r="F759" i="4"/>
  <c r="D759" i="4"/>
  <c r="G758" i="4"/>
  <c r="F758" i="4"/>
  <c r="D758" i="4"/>
  <c r="G757" i="4"/>
  <c r="F757" i="4"/>
  <c r="D757" i="4"/>
  <c r="G756" i="4"/>
  <c r="F756" i="4"/>
  <c r="D756" i="4"/>
  <c r="G755" i="4"/>
  <c r="F755" i="4"/>
  <c r="D755" i="4"/>
  <c r="G754" i="4"/>
  <c r="F754" i="4"/>
  <c r="D754" i="4"/>
  <c r="G753" i="4"/>
  <c r="F753" i="4"/>
  <c r="D753" i="4"/>
  <c r="G752" i="4"/>
  <c r="F752" i="4"/>
  <c r="D752" i="4"/>
  <c r="G751" i="4"/>
  <c r="F751" i="4"/>
  <c r="D751" i="4"/>
  <c r="G750" i="4"/>
  <c r="F750" i="4"/>
  <c r="D750" i="4"/>
  <c r="G749" i="4"/>
  <c r="F749" i="4"/>
  <c r="D749" i="4"/>
  <c r="G748" i="4"/>
  <c r="F748" i="4"/>
  <c r="D748" i="4"/>
  <c r="G747" i="4"/>
  <c r="F747" i="4"/>
  <c r="D747" i="4"/>
  <c r="G746" i="4"/>
  <c r="F746" i="4"/>
  <c r="D746" i="4"/>
  <c r="G745" i="4"/>
  <c r="F745" i="4"/>
  <c r="D745" i="4"/>
  <c r="G744" i="4"/>
  <c r="F744" i="4"/>
  <c r="D744" i="4"/>
  <c r="G743" i="4"/>
  <c r="F743" i="4"/>
  <c r="D743" i="4"/>
  <c r="G742" i="4"/>
  <c r="F742" i="4"/>
  <c r="D742" i="4"/>
  <c r="G741" i="4"/>
  <c r="F741" i="4"/>
  <c r="D741" i="4"/>
  <c r="G740" i="4"/>
  <c r="F740" i="4"/>
  <c r="D740" i="4"/>
  <c r="G739" i="4"/>
  <c r="F739" i="4"/>
  <c r="D739" i="4"/>
  <c r="G738" i="4"/>
  <c r="F738" i="4"/>
  <c r="D738" i="4"/>
  <c r="G737" i="4"/>
  <c r="F737" i="4"/>
  <c r="D737" i="4"/>
  <c r="G736" i="4"/>
  <c r="F736" i="4"/>
  <c r="D736" i="4"/>
  <c r="G735" i="4"/>
  <c r="F735" i="4"/>
  <c r="D735" i="4"/>
  <c r="G734" i="4"/>
  <c r="F734" i="4"/>
  <c r="D734" i="4"/>
  <c r="G733" i="4"/>
  <c r="F733" i="4"/>
  <c r="D733" i="4"/>
  <c r="G732" i="4"/>
  <c r="F732" i="4"/>
  <c r="D732" i="4"/>
  <c r="G731" i="4"/>
  <c r="F731" i="4"/>
  <c r="D731" i="4"/>
  <c r="G730" i="4"/>
  <c r="F730" i="4"/>
  <c r="D730" i="4"/>
  <c r="G729" i="4"/>
  <c r="F729" i="4"/>
  <c r="D729" i="4"/>
  <c r="G728" i="4"/>
  <c r="F728" i="4"/>
  <c r="D728" i="4"/>
  <c r="G727" i="4"/>
  <c r="F727" i="4"/>
  <c r="D727" i="4"/>
  <c r="G726" i="4"/>
  <c r="F726" i="4"/>
  <c r="D726" i="4"/>
  <c r="G725" i="4"/>
  <c r="F725" i="4"/>
  <c r="D725" i="4"/>
  <c r="G724" i="4"/>
  <c r="F724" i="4"/>
  <c r="D724" i="4"/>
  <c r="G723" i="4"/>
  <c r="F723" i="4"/>
  <c r="D723" i="4"/>
  <c r="G722" i="4"/>
  <c r="F722" i="4"/>
  <c r="D722" i="4"/>
  <c r="G721" i="4"/>
  <c r="F721" i="4"/>
  <c r="D721" i="4"/>
  <c r="G720" i="4"/>
  <c r="F720" i="4"/>
  <c r="D720" i="4"/>
  <c r="G719" i="4"/>
  <c r="F719" i="4"/>
  <c r="D719" i="4"/>
  <c r="G718" i="4"/>
  <c r="F718" i="4"/>
  <c r="D718" i="4"/>
  <c r="G717" i="4"/>
  <c r="F717" i="4"/>
  <c r="D717" i="4"/>
  <c r="G716" i="4"/>
  <c r="F716" i="4"/>
  <c r="D716" i="4"/>
  <c r="G715" i="4"/>
  <c r="F715" i="4"/>
  <c r="D715" i="4"/>
  <c r="G714" i="4"/>
  <c r="F714" i="4"/>
  <c r="D714" i="4"/>
  <c r="G713" i="4"/>
  <c r="F713" i="4"/>
  <c r="D713" i="4"/>
  <c r="G712" i="4"/>
  <c r="F712" i="4"/>
  <c r="D712" i="4"/>
  <c r="G711" i="4"/>
  <c r="F711" i="4"/>
  <c r="D711" i="4"/>
  <c r="G710" i="4"/>
  <c r="F710" i="4"/>
  <c r="D710" i="4"/>
  <c r="G709" i="4"/>
  <c r="F709" i="4"/>
  <c r="D709" i="4"/>
  <c r="G708" i="4"/>
  <c r="F708" i="4"/>
  <c r="D708" i="4"/>
  <c r="G707" i="4"/>
  <c r="F707" i="4"/>
  <c r="D707" i="4"/>
  <c r="G706" i="4"/>
  <c r="F706" i="4"/>
  <c r="D706" i="4"/>
  <c r="G705" i="4"/>
  <c r="F705" i="4"/>
  <c r="D705" i="4"/>
  <c r="G704" i="4"/>
  <c r="F704" i="4"/>
  <c r="D704" i="4"/>
  <c r="G703" i="4"/>
  <c r="F703" i="4"/>
  <c r="D703" i="4"/>
  <c r="G702" i="4"/>
  <c r="F702" i="4"/>
  <c r="D702" i="4"/>
  <c r="G701" i="4"/>
  <c r="F701" i="4"/>
  <c r="D701" i="4"/>
  <c r="G700" i="4"/>
  <c r="F700" i="4"/>
  <c r="D700" i="4"/>
  <c r="G699" i="4"/>
  <c r="F699" i="4"/>
  <c r="D699" i="4"/>
  <c r="G698" i="4"/>
  <c r="F698" i="4"/>
  <c r="D698" i="4"/>
  <c r="G697" i="4"/>
  <c r="F697" i="4"/>
  <c r="D697" i="4"/>
  <c r="G696" i="4"/>
  <c r="F696" i="4"/>
  <c r="D696" i="4"/>
  <c r="G695" i="4"/>
  <c r="F695" i="4"/>
  <c r="D695" i="4"/>
  <c r="G694" i="4"/>
  <c r="F694" i="4"/>
  <c r="D694" i="4"/>
  <c r="G693" i="4"/>
  <c r="F693" i="4"/>
  <c r="D693" i="4"/>
  <c r="G692" i="4"/>
  <c r="F692" i="4"/>
  <c r="D692" i="4"/>
  <c r="G691" i="4"/>
  <c r="F691" i="4"/>
  <c r="D691" i="4"/>
  <c r="G690" i="4"/>
  <c r="F690" i="4"/>
  <c r="D690" i="4"/>
  <c r="G689" i="4"/>
  <c r="F689" i="4"/>
  <c r="D689" i="4"/>
  <c r="G688" i="4"/>
  <c r="F688" i="4"/>
  <c r="D688" i="4"/>
  <c r="G687" i="4"/>
  <c r="F687" i="4"/>
  <c r="D687" i="4"/>
  <c r="G686" i="4"/>
  <c r="F686" i="4"/>
  <c r="D686" i="4"/>
  <c r="G685" i="4"/>
  <c r="F685" i="4"/>
  <c r="D685" i="4"/>
  <c r="G684" i="4"/>
  <c r="F684" i="4"/>
  <c r="D684" i="4"/>
  <c r="G683" i="4"/>
  <c r="F683" i="4"/>
  <c r="D683" i="4"/>
  <c r="G682" i="4"/>
  <c r="F682" i="4"/>
  <c r="D682" i="4"/>
  <c r="G681" i="4"/>
  <c r="F681" i="4"/>
  <c r="D681" i="4"/>
  <c r="G680" i="4"/>
  <c r="F680" i="4"/>
  <c r="D680" i="4"/>
  <c r="G679" i="4"/>
  <c r="F679" i="4"/>
  <c r="D679" i="4"/>
  <c r="G678" i="4"/>
  <c r="F678" i="4"/>
  <c r="D678" i="4"/>
  <c r="G677" i="4"/>
  <c r="F677" i="4"/>
  <c r="D677" i="4"/>
  <c r="G676" i="4"/>
  <c r="F676" i="4"/>
  <c r="D676" i="4"/>
  <c r="G675" i="4"/>
  <c r="F675" i="4"/>
  <c r="D675" i="4"/>
  <c r="G674" i="4"/>
  <c r="F674" i="4"/>
  <c r="D674" i="4"/>
  <c r="G673" i="4"/>
  <c r="F673" i="4"/>
  <c r="D673" i="4"/>
  <c r="G672" i="4"/>
  <c r="F672" i="4"/>
  <c r="D672" i="4"/>
  <c r="G671" i="4"/>
  <c r="F671" i="4"/>
  <c r="D671" i="4"/>
  <c r="G670" i="4"/>
  <c r="F670" i="4"/>
  <c r="D670" i="4"/>
  <c r="G669" i="4"/>
  <c r="F669" i="4"/>
  <c r="D669" i="4"/>
  <c r="G668" i="4"/>
  <c r="F668" i="4"/>
  <c r="D668" i="4"/>
  <c r="G667" i="4"/>
  <c r="F667" i="4"/>
  <c r="D667" i="4"/>
  <c r="G666" i="4"/>
  <c r="F666" i="4"/>
  <c r="D666" i="4"/>
  <c r="G665" i="4"/>
  <c r="F665" i="4"/>
  <c r="D665" i="4"/>
  <c r="G664" i="4"/>
  <c r="F664" i="4"/>
  <c r="D664" i="4"/>
  <c r="G663" i="4"/>
  <c r="F663" i="4"/>
  <c r="D663" i="4"/>
  <c r="G662" i="4"/>
  <c r="F662" i="4"/>
  <c r="D662" i="4"/>
  <c r="G661" i="4"/>
  <c r="F661" i="4"/>
  <c r="D661" i="4"/>
  <c r="G660" i="4"/>
  <c r="F660" i="4"/>
  <c r="D660" i="4"/>
  <c r="G659" i="4"/>
  <c r="F659" i="4"/>
  <c r="D659" i="4"/>
  <c r="G658" i="4"/>
  <c r="F658" i="4"/>
  <c r="D658" i="4"/>
  <c r="G657" i="4"/>
  <c r="F657" i="4"/>
  <c r="D657" i="4"/>
  <c r="G656" i="4"/>
  <c r="F656" i="4"/>
  <c r="D656" i="4"/>
  <c r="G655" i="4"/>
  <c r="F655" i="4"/>
  <c r="D655" i="4"/>
  <c r="G654" i="4"/>
  <c r="F654" i="4"/>
  <c r="D654" i="4"/>
  <c r="G653" i="4"/>
  <c r="F653" i="4"/>
  <c r="D653" i="4"/>
  <c r="G652" i="4"/>
  <c r="F652" i="4"/>
  <c r="D652" i="4"/>
  <c r="G651" i="4"/>
  <c r="F651" i="4"/>
  <c r="D651" i="4"/>
  <c r="G650" i="4"/>
  <c r="F650" i="4"/>
  <c r="D650" i="4"/>
  <c r="G649" i="4"/>
  <c r="F649" i="4"/>
  <c r="D649" i="4"/>
  <c r="G648" i="4"/>
  <c r="F648" i="4"/>
  <c r="D648" i="4"/>
  <c r="G647" i="4"/>
  <c r="F647" i="4"/>
  <c r="D647" i="4"/>
  <c r="G646" i="4"/>
  <c r="F646" i="4"/>
  <c r="D646" i="4"/>
  <c r="G645" i="4"/>
  <c r="F645" i="4"/>
  <c r="D645" i="4"/>
  <c r="G644" i="4"/>
  <c r="F644" i="4"/>
  <c r="D644" i="4"/>
  <c r="G643" i="4"/>
  <c r="F643" i="4"/>
  <c r="D643" i="4"/>
  <c r="G642" i="4"/>
  <c r="F642" i="4"/>
  <c r="D642" i="4"/>
  <c r="G641" i="4"/>
  <c r="F641" i="4"/>
  <c r="D641" i="4"/>
  <c r="G640" i="4"/>
  <c r="F640" i="4"/>
  <c r="D640" i="4"/>
  <c r="G639" i="4"/>
  <c r="F639" i="4"/>
  <c r="D639" i="4"/>
  <c r="G638" i="4"/>
  <c r="F638" i="4"/>
  <c r="D638" i="4"/>
  <c r="G637" i="4"/>
  <c r="F637" i="4"/>
  <c r="D637" i="4"/>
  <c r="G636" i="4"/>
  <c r="F636" i="4"/>
  <c r="D636" i="4"/>
  <c r="G635" i="4"/>
  <c r="F635" i="4"/>
  <c r="D635" i="4"/>
  <c r="G634" i="4"/>
  <c r="F634" i="4"/>
  <c r="D634" i="4"/>
  <c r="G633" i="4"/>
  <c r="F633" i="4"/>
  <c r="D633" i="4"/>
  <c r="G632" i="4"/>
  <c r="F632" i="4"/>
  <c r="D632" i="4"/>
  <c r="G631" i="4"/>
  <c r="F631" i="4"/>
  <c r="D631" i="4"/>
  <c r="G630" i="4"/>
  <c r="F630" i="4"/>
  <c r="D630" i="4"/>
  <c r="G629" i="4"/>
  <c r="F629" i="4"/>
  <c r="D629" i="4"/>
  <c r="G628" i="4"/>
  <c r="F628" i="4"/>
  <c r="D628" i="4"/>
  <c r="G627" i="4"/>
  <c r="F627" i="4"/>
  <c r="D627" i="4"/>
  <c r="G626" i="4"/>
  <c r="F626" i="4"/>
  <c r="D626" i="4"/>
  <c r="G625" i="4"/>
  <c r="F625" i="4"/>
  <c r="D625" i="4"/>
  <c r="G624" i="4"/>
  <c r="F624" i="4"/>
  <c r="D624" i="4"/>
  <c r="G623" i="4"/>
  <c r="F623" i="4"/>
  <c r="D623" i="4"/>
  <c r="G622" i="4"/>
  <c r="F622" i="4"/>
  <c r="D622" i="4"/>
  <c r="G621" i="4"/>
  <c r="F621" i="4"/>
  <c r="D621" i="4"/>
  <c r="G620" i="4"/>
  <c r="F620" i="4"/>
  <c r="D620" i="4"/>
  <c r="G619" i="4"/>
  <c r="F619" i="4"/>
  <c r="D619" i="4"/>
  <c r="G618" i="4"/>
  <c r="F618" i="4"/>
  <c r="D618" i="4"/>
  <c r="G617" i="4"/>
  <c r="F617" i="4"/>
  <c r="D617" i="4"/>
  <c r="G616" i="4"/>
  <c r="F616" i="4"/>
  <c r="D616" i="4"/>
  <c r="G615" i="4"/>
  <c r="F615" i="4"/>
  <c r="D615" i="4"/>
  <c r="G614" i="4"/>
  <c r="F614" i="4"/>
  <c r="D614" i="4"/>
  <c r="G613" i="4"/>
  <c r="F613" i="4"/>
  <c r="D613" i="4"/>
  <c r="G612" i="4"/>
  <c r="F612" i="4"/>
  <c r="D612" i="4"/>
  <c r="G611" i="4"/>
  <c r="F611" i="4"/>
  <c r="D611" i="4"/>
  <c r="G610" i="4"/>
  <c r="F610" i="4"/>
  <c r="D610" i="4"/>
  <c r="G609" i="4"/>
  <c r="F609" i="4"/>
  <c r="D609" i="4"/>
  <c r="G608" i="4"/>
  <c r="F608" i="4"/>
  <c r="D608" i="4"/>
  <c r="G607" i="4"/>
  <c r="F607" i="4"/>
  <c r="D607" i="4"/>
  <c r="G606" i="4"/>
  <c r="F606" i="4"/>
  <c r="D606" i="4"/>
  <c r="G605" i="4"/>
  <c r="F605" i="4"/>
  <c r="D605" i="4"/>
  <c r="G604" i="4"/>
  <c r="F604" i="4"/>
  <c r="D604" i="4"/>
  <c r="G603" i="4"/>
  <c r="F603" i="4"/>
  <c r="D603" i="4"/>
  <c r="G602" i="4"/>
  <c r="F602" i="4"/>
  <c r="D602" i="4"/>
  <c r="G601" i="4"/>
  <c r="F601" i="4"/>
  <c r="D601" i="4"/>
  <c r="G600" i="4"/>
  <c r="F600" i="4"/>
  <c r="D600" i="4"/>
  <c r="G599" i="4"/>
  <c r="F599" i="4"/>
  <c r="D599" i="4"/>
  <c r="G598" i="4"/>
  <c r="F598" i="4"/>
  <c r="D598" i="4"/>
  <c r="G597" i="4"/>
  <c r="F597" i="4"/>
  <c r="D597" i="4"/>
  <c r="G596" i="4"/>
  <c r="F596" i="4"/>
  <c r="D596" i="4"/>
  <c r="G595" i="4"/>
  <c r="F595" i="4"/>
  <c r="D595" i="4"/>
  <c r="G594" i="4"/>
  <c r="F594" i="4"/>
  <c r="D594" i="4"/>
  <c r="G593" i="4"/>
  <c r="F593" i="4"/>
  <c r="D593" i="4"/>
  <c r="G592" i="4"/>
  <c r="F592" i="4"/>
  <c r="D592" i="4"/>
  <c r="G591" i="4"/>
  <c r="F591" i="4"/>
  <c r="D591" i="4"/>
  <c r="G590" i="4"/>
  <c r="F590" i="4"/>
  <c r="D590" i="4"/>
  <c r="G589" i="4"/>
  <c r="F589" i="4"/>
  <c r="D589" i="4"/>
  <c r="G588" i="4"/>
  <c r="F588" i="4"/>
  <c r="D588" i="4"/>
  <c r="G587" i="4"/>
  <c r="F587" i="4"/>
  <c r="D587" i="4"/>
  <c r="G586" i="4"/>
  <c r="F586" i="4"/>
  <c r="D586" i="4"/>
  <c r="G585" i="4"/>
  <c r="F585" i="4"/>
  <c r="D585" i="4"/>
  <c r="G584" i="4"/>
  <c r="F584" i="4"/>
  <c r="D584" i="4"/>
  <c r="G583" i="4"/>
  <c r="F583" i="4"/>
  <c r="D583" i="4"/>
  <c r="G582" i="4"/>
  <c r="F582" i="4"/>
  <c r="D582" i="4"/>
  <c r="G581" i="4"/>
  <c r="F581" i="4"/>
  <c r="D581" i="4"/>
  <c r="G580" i="4"/>
  <c r="F580" i="4"/>
  <c r="D580" i="4"/>
  <c r="G579" i="4"/>
  <c r="F579" i="4"/>
  <c r="D579" i="4"/>
  <c r="G578" i="4"/>
  <c r="F578" i="4"/>
  <c r="D578" i="4"/>
  <c r="G577" i="4"/>
  <c r="F577" i="4"/>
  <c r="D577" i="4"/>
  <c r="G576" i="4"/>
  <c r="F576" i="4"/>
  <c r="D576" i="4"/>
  <c r="G575" i="4"/>
  <c r="F575" i="4"/>
  <c r="D575" i="4"/>
  <c r="G574" i="4"/>
  <c r="F574" i="4"/>
  <c r="D574" i="4"/>
  <c r="G573" i="4"/>
  <c r="F573" i="4"/>
  <c r="D573" i="4"/>
  <c r="G572" i="4"/>
  <c r="F572" i="4"/>
  <c r="D572" i="4"/>
  <c r="G571" i="4"/>
  <c r="F571" i="4"/>
  <c r="D571" i="4"/>
  <c r="G570" i="4"/>
  <c r="F570" i="4"/>
  <c r="D570" i="4"/>
  <c r="G569" i="4"/>
  <c r="F569" i="4"/>
  <c r="D569" i="4"/>
  <c r="G568" i="4"/>
  <c r="F568" i="4"/>
  <c r="D568" i="4"/>
  <c r="G567" i="4"/>
  <c r="F567" i="4"/>
  <c r="D567" i="4"/>
  <c r="G566" i="4"/>
  <c r="F566" i="4"/>
  <c r="D566" i="4"/>
  <c r="G565" i="4"/>
  <c r="F565" i="4"/>
  <c r="D565" i="4"/>
  <c r="G564" i="4"/>
  <c r="F564" i="4"/>
  <c r="D564" i="4"/>
  <c r="G563" i="4"/>
  <c r="F563" i="4"/>
  <c r="D563" i="4"/>
  <c r="G562" i="4"/>
  <c r="F562" i="4"/>
  <c r="D562" i="4"/>
  <c r="G561" i="4"/>
  <c r="F561" i="4"/>
  <c r="D561" i="4"/>
  <c r="G560" i="4"/>
  <c r="F560" i="4"/>
  <c r="D560" i="4"/>
  <c r="G559" i="4"/>
  <c r="F559" i="4"/>
  <c r="D559" i="4"/>
  <c r="G558" i="4"/>
  <c r="F558" i="4"/>
  <c r="D558" i="4"/>
  <c r="G557" i="4"/>
  <c r="F557" i="4"/>
  <c r="D557" i="4"/>
  <c r="G556" i="4"/>
  <c r="F556" i="4"/>
  <c r="D556" i="4"/>
  <c r="G555" i="4"/>
  <c r="F555" i="4"/>
  <c r="D555" i="4"/>
  <c r="G554" i="4"/>
  <c r="F554" i="4"/>
  <c r="D554" i="4"/>
  <c r="G553" i="4"/>
  <c r="F553" i="4"/>
  <c r="D553" i="4"/>
  <c r="G552" i="4"/>
  <c r="F552" i="4"/>
  <c r="D552" i="4"/>
  <c r="G551" i="4"/>
  <c r="F551" i="4"/>
  <c r="D551" i="4"/>
  <c r="G550" i="4"/>
  <c r="F550" i="4"/>
  <c r="D550" i="4"/>
  <c r="G549" i="4"/>
  <c r="F549" i="4"/>
  <c r="D549" i="4"/>
  <c r="G548" i="4"/>
  <c r="F548" i="4"/>
  <c r="D548" i="4"/>
  <c r="G547" i="4"/>
  <c r="F547" i="4"/>
  <c r="D547" i="4"/>
  <c r="G546" i="4"/>
  <c r="F546" i="4"/>
  <c r="D546" i="4"/>
  <c r="G545" i="4"/>
  <c r="F545" i="4"/>
  <c r="D545" i="4"/>
  <c r="G544" i="4"/>
  <c r="F544" i="4"/>
  <c r="D544" i="4"/>
  <c r="G543" i="4"/>
  <c r="F543" i="4"/>
  <c r="D543" i="4"/>
  <c r="G542" i="4"/>
  <c r="F542" i="4"/>
  <c r="D542" i="4"/>
  <c r="G541" i="4"/>
  <c r="F541" i="4"/>
  <c r="D541" i="4"/>
  <c r="G540" i="4"/>
  <c r="F540" i="4"/>
  <c r="D540" i="4"/>
  <c r="G539" i="4"/>
  <c r="F539" i="4"/>
  <c r="D539" i="4"/>
  <c r="G538" i="4"/>
  <c r="F538" i="4"/>
  <c r="D538" i="4"/>
  <c r="G537" i="4"/>
  <c r="F537" i="4"/>
  <c r="D537" i="4"/>
  <c r="G536" i="4"/>
  <c r="F536" i="4"/>
  <c r="D536" i="4"/>
  <c r="G535" i="4"/>
  <c r="F535" i="4"/>
  <c r="D535" i="4"/>
  <c r="G534" i="4"/>
  <c r="F534" i="4"/>
  <c r="D534" i="4"/>
  <c r="G533" i="4"/>
  <c r="F533" i="4"/>
  <c r="D533" i="4"/>
  <c r="G532" i="4"/>
  <c r="F532" i="4"/>
  <c r="D532" i="4"/>
  <c r="G531" i="4"/>
  <c r="F531" i="4"/>
  <c r="D531" i="4"/>
  <c r="G530" i="4"/>
  <c r="F530" i="4"/>
  <c r="D530" i="4"/>
  <c r="G529" i="4"/>
  <c r="F529" i="4"/>
  <c r="D529" i="4"/>
  <c r="G528" i="4"/>
  <c r="F528" i="4"/>
  <c r="D528" i="4"/>
  <c r="G527" i="4"/>
  <c r="F527" i="4"/>
  <c r="D527" i="4"/>
  <c r="G526" i="4"/>
  <c r="F526" i="4"/>
  <c r="D526" i="4"/>
  <c r="G525" i="4"/>
  <c r="F525" i="4"/>
  <c r="D525" i="4"/>
  <c r="G524" i="4"/>
  <c r="F524" i="4"/>
  <c r="D524" i="4"/>
  <c r="G523" i="4"/>
  <c r="F523" i="4"/>
  <c r="D523" i="4"/>
  <c r="G522" i="4"/>
  <c r="F522" i="4"/>
  <c r="D522" i="4"/>
  <c r="G521" i="4"/>
  <c r="F521" i="4"/>
  <c r="D521" i="4"/>
  <c r="G520" i="4"/>
  <c r="F520" i="4"/>
  <c r="D520" i="4"/>
  <c r="G519" i="4"/>
  <c r="F519" i="4"/>
  <c r="D519" i="4"/>
  <c r="G518" i="4"/>
  <c r="F518" i="4"/>
  <c r="D518" i="4"/>
  <c r="G517" i="4"/>
  <c r="F517" i="4"/>
  <c r="D517" i="4"/>
  <c r="G516" i="4"/>
  <c r="F516" i="4"/>
  <c r="D516" i="4"/>
  <c r="G515" i="4"/>
  <c r="F515" i="4"/>
  <c r="D515" i="4"/>
  <c r="G514" i="4"/>
  <c r="F514" i="4"/>
  <c r="D514" i="4"/>
  <c r="G513" i="4"/>
  <c r="F513" i="4"/>
  <c r="D513" i="4"/>
  <c r="G512" i="4"/>
  <c r="F512" i="4"/>
  <c r="D512" i="4"/>
  <c r="G511" i="4"/>
  <c r="F511" i="4"/>
  <c r="D511" i="4"/>
  <c r="G510" i="4"/>
  <c r="F510" i="4"/>
  <c r="D510" i="4"/>
  <c r="G509" i="4"/>
  <c r="F509" i="4"/>
  <c r="D509" i="4"/>
  <c r="G508" i="4"/>
  <c r="F508" i="4"/>
  <c r="D508" i="4"/>
  <c r="G507" i="4"/>
  <c r="F507" i="4"/>
  <c r="D507" i="4"/>
  <c r="G506" i="4"/>
  <c r="F506" i="4"/>
  <c r="D506" i="4"/>
  <c r="G505" i="4"/>
  <c r="F505" i="4"/>
  <c r="D505" i="4"/>
  <c r="G504" i="4"/>
  <c r="F504" i="4"/>
  <c r="D504" i="4"/>
  <c r="G503" i="4"/>
  <c r="F503" i="4"/>
  <c r="D503" i="4"/>
  <c r="G502" i="4"/>
  <c r="F502" i="4"/>
  <c r="D502" i="4"/>
  <c r="G501" i="4"/>
  <c r="F501" i="4"/>
  <c r="D501" i="4"/>
  <c r="G500" i="4"/>
  <c r="F500" i="4"/>
  <c r="D500" i="4"/>
  <c r="G499" i="4"/>
  <c r="F499" i="4"/>
  <c r="D499" i="4"/>
  <c r="G498" i="4"/>
  <c r="F498" i="4"/>
  <c r="D498" i="4"/>
  <c r="G497" i="4"/>
  <c r="F497" i="4"/>
  <c r="D497" i="4"/>
  <c r="G496" i="4"/>
  <c r="F496" i="4"/>
  <c r="D496" i="4"/>
  <c r="G495" i="4"/>
  <c r="F495" i="4"/>
  <c r="D495" i="4"/>
  <c r="G494" i="4"/>
  <c r="F494" i="4"/>
  <c r="D494" i="4"/>
  <c r="G493" i="4"/>
  <c r="F493" i="4"/>
  <c r="D493" i="4"/>
  <c r="G492" i="4"/>
  <c r="F492" i="4"/>
  <c r="D492" i="4"/>
  <c r="G491" i="4"/>
  <c r="F491" i="4"/>
  <c r="D491" i="4"/>
  <c r="G490" i="4"/>
  <c r="F490" i="4"/>
  <c r="D490" i="4"/>
  <c r="G489" i="4"/>
  <c r="F489" i="4"/>
  <c r="D489" i="4"/>
  <c r="G488" i="4"/>
  <c r="F488" i="4"/>
  <c r="D488" i="4"/>
  <c r="G487" i="4"/>
  <c r="F487" i="4"/>
  <c r="D487" i="4"/>
  <c r="G486" i="4"/>
  <c r="F486" i="4"/>
  <c r="D486" i="4"/>
  <c r="G485" i="4"/>
  <c r="F485" i="4"/>
  <c r="D485" i="4"/>
  <c r="G484" i="4"/>
  <c r="F484" i="4"/>
  <c r="D484" i="4"/>
  <c r="G483" i="4"/>
  <c r="F483" i="4"/>
  <c r="D483" i="4"/>
  <c r="G482" i="4"/>
  <c r="F482" i="4"/>
  <c r="D482" i="4"/>
  <c r="G481" i="4"/>
  <c r="F481" i="4"/>
  <c r="D481" i="4"/>
  <c r="G480" i="4"/>
  <c r="F480" i="4"/>
  <c r="D480" i="4"/>
  <c r="G479" i="4"/>
  <c r="F479" i="4"/>
  <c r="D479" i="4"/>
  <c r="G478" i="4"/>
  <c r="F478" i="4"/>
  <c r="D478" i="4"/>
  <c r="G477" i="4"/>
  <c r="F477" i="4"/>
  <c r="D477" i="4"/>
  <c r="G476" i="4"/>
  <c r="F476" i="4"/>
  <c r="D476" i="4"/>
  <c r="G475" i="4"/>
  <c r="F475" i="4"/>
  <c r="D475" i="4"/>
  <c r="G474" i="4"/>
  <c r="F474" i="4"/>
  <c r="D474" i="4"/>
  <c r="G473" i="4"/>
  <c r="F473" i="4"/>
  <c r="D473" i="4"/>
  <c r="G472" i="4"/>
  <c r="F472" i="4"/>
  <c r="D472" i="4"/>
  <c r="G471" i="4"/>
  <c r="F471" i="4"/>
  <c r="D471" i="4"/>
  <c r="G470" i="4"/>
  <c r="F470" i="4"/>
  <c r="D470" i="4"/>
  <c r="G469" i="4"/>
  <c r="F469" i="4"/>
  <c r="D469" i="4"/>
  <c r="G468" i="4"/>
  <c r="F468" i="4"/>
  <c r="D468" i="4"/>
  <c r="G467" i="4"/>
  <c r="F467" i="4"/>
  <c r="D467" i="4"/>
  <c r="G466" i="4"/>
  <c r="F466" i="4"/>
  <c r="D466" i="4"/>
  <c r="G465" i="4"/>
  <c r="F465" i="4"/>
  <c r="D465" i="4"/>
  <c r="G464" i="4"/>
  <c r="F464" i="4"/>
  <c r="D464" i="4"/>
  <c r="G463" i="4"/>
  <c r="F463" i="4"/>
  <c r="D463" i="4"/>
  <c r="G462" i="4"/>
  <c r="F462" i="4"/>
  <c r="D462" i="4"/>
  <c r="G461" i="4"/>
  <c r="F461" i="4"/>
  <c r="D461" i="4"/>
  <c r="G460" i="4"/>
  <c r="F460" i="4"/>
  <c r="D460" i="4"/>
  <c r="G459" i="4"/>
  <c r="F459" i="4"/>
  <c r="D459" i="4"/>
  <c r="G458" i="4"/>
  <c r="F458" i="4"/>
  <c r="D458" i="4"/>
  <c r="G457" i="4"/>
  <c r="F457" i="4"/>
  <c r="D457" i="4"/>
  <c r="G456" i="4"/>
  <c r="F456" i="4"/>
  <c r="D456" i="4"/>
  <c r="G455" i="4"/>
  <c r="F455" i="4"/>
  <c r="D455" i="4"/>
  <c r="G454" i="4"/>
  <c r="F454" i="4"/>
  <c r="D454" i="4"/>
  <c r="G453" i="4"/>
  <c r="F453" i="4"/>
  <c r="D453" i="4"/>
  <c r="G452" i="4"/>
  <c r="F452" i="4"/>
  <c r="D452" i="4"/>
  <c r="G451" i="4"/>
  <c r="F451" i="4"/>
  <c r="D451" i="4"/>
  <c r="G450" i="4"/>
  <c r="F450" i="4"/>
  <c r="D450" i="4"/>
  <c r="G449" i="4"/>
  <c r="F449" i="4"/>
  <c r="D449" i="4"/>
  <c r="G448" i="4"/>
  <c r="F448" i="4"/>
  <c r="D448" i="4"/>
  <c r="G447" i="4"/>
  <c r="F447" i="4"/>
  <c r="D447" i="4"/>
  <c r="G446" i="4"/>
  <c r="F446" i="4"/>
  <c r="D446" i="4"/>
  <c r="G445" i="4"/>
  <c r="F445" i="4"/>
  <c r="D445" i="4"/>
  <c r="G444" i="4"/>
  <c r="F444" i="4"/>
  <c r="D444" i="4"/>
  <c r="G443" i="4"/>
  <c r="F443" i="4"/>
  <c r="D443" i="4"/>
  <c r="G442" i="4"/>
  <c r="F442" i="4"/>
  <c r="D442" i="4"/>
  <c r="G441" i="4"/>
  <c r="F441" i="4"/>
  <c r="D441" i="4"/>
  <c r="G440" i="4"/>
  <c r="F440" i="4"/>
  <c r="D440" i="4"/>
  <c r="G439" i="4"/>
  <c r="F439" i="4"/>
  <c r="D439" i="4"/>
  <c r="G438" i="4"/>
  <c r="F438" i="4"/>
  <c r="D438" i="4"/>
  <c r="G437" i="4"/>
  <c r="F437" i="4"/>
  <c r="D437" i="4"/>
  <c r="G436" i="4"/>
  <c r="F436" i="4"/>
  <c r="D436" i="4"/>
  <c r="G435" i="4"/>
  <c r="F435" i="4"/>
  <c r="D435" i="4"/>
  <c r="G434" i="4"/>
  <c r="F434" i="4"/>
  <c r="D434" i="4"/>
  <c r="G433" i="4"/>
  <c r="F433" i="4"/>
  <c r="D433" i="4"/>
  <c r="G432" i="4"/>
  <c r="F432" i="4"/>
  <c r="D432" i="4"/>
  <c r="G431" i="4"/>
  <c r="F431" i="4"/>
  <c r="D431" i="4"/>
  <c r="G430" i="4"/>
  <c r="F430" i="4"/>
  <c r="D430" i="4"/>
  <c r="G429" i="4"/>
  <c r="F429" i="4"/>
  <c r="D429" i="4"/>
  <c r="G428" i="4"/>
  <c r="F428" i="4"/>
  <c r="D428" i="4"/>
  <c r="G427" i="4"/>
  <c r="F427" i="4"/>
  <c r="D427" i="4"/>
  <c r="G426" i="4"/>
  <c r="F426" i="4"/>
  <c r="D426" i="4"/>
  <c r="G425" i="4"/>
  <c r="F425" i="4"/>
  <c r="D425" i="4"/>
  <c r="G424" i="4"/>
  <c r="F424" i="4"/>
  <c r="D424" i="4"/>
  <c r="G423" i="4"/>
  <c r="F423" i="4"/>
  <c r="D423" i="4"/>
  <c r="G422" i="4"/>
  <c r="F422" i="4"/>
  <c r="D422" i="4"/>
  <c r="G421" i="4"/>
  <c r="F421" i="4"/>
  <c r="D421" i="4"/>
  <c r="G420" i="4"/>
  <c r="F420" i="4"/>
  <c r="D420" i="4"/>
  <c r="G419" i="4"/>
  <c r="F419" i="4"/>
  <c r="D419" i="4"/>
  <c r="G418" i="4"/>
  <c r="F418" i="4"/>
  <c r="D418" i="4"/>
  <c r="G417" i="4"/>
  <c r="F417" i="4"/>
  <c r="D417" i="4"/>
  <c r="G416" i="4"/>
  <c r="F416" i="4"/>
  <c r="D416" i="4"/>
  <c r="G415" i="4"/>
  <c r="F415" i="4"/>
  <c r="D415" i="4"/>
  <c r="G414" i="4"/>
  <c r="F414" i="4"/>
  <c r="D414" i="4"/>
  <c r="G413" i="4"/>
  <c r="F413" i="4"/>
  <c r="D413" i="4"/>
  <c r="G412" i="4"/>
  <c r="F412" i="4"/>
  <c r="D412" i="4"/>
  <c r="G411" i="4"/>
  <c r="F411" i="4"/>
  <c r="D411" i="4"/>
  <c r="G410" i="4"/>
  <c r="F410" i="4"/>
  <c r="D410" i="4"/>
  <c r="G409" i="4"/>
  <c r="F409" i="4"/>
  <c r="D409" i="4"/>
  <c r="G408" i="4"/>
  <c r="F408" i="4"/>
  <c r="D408" i="4"/>
  <c r="G407" i="4"/>
  <c r="F407" i="4"/>
  <c r="D407" i="4"/>
  <c r="G406" i="4"/>
  <c r="F406" i="4"/>
  <c r="D406" i="4"/>
  <c r="G405" i="4"/>
  <c r="F405" i="4"/>
  <c r="D405" i="4"/>
  <c r="G404" i="4"/>
  <c r="F404" i="4"/>
  <c r="D404" i="4"/>
  <c r="G403" i="4"/>
  <c r="F403" i="4"/>
  <c r="D403" i="4"/>
  <c r="G402" i="4"/>
  <c r="F402" i="4"/>
  <c r="D402" i="4"/>
  <c r="G401" i="4"/>
  <c r="F401" i="4"/>
  <c r="D401" i="4"/>
  <c r="G400" i="4"/>
  <c r="F400" i="4"/>
  <c r="D400" i="4"/>
  <c r="G399" i="4"/>
  <c r="F399" i="4"/>
  <c r="D399" i="4"/>
  <c r="G398" i="4"/>
  <c r="F398" i="4"/>
  <c r="D398" i="4"/>
  <c r="G397" i="4"/>
  <c r="F397" i="4"/>
  <c r="D397" i="4"/>
  <c r="G396" i="4"/>
  <c r="F396" i="4"/>
  <c r="D396" i="4"/>
  <c r="G395" i="4"/>
  <c r="F395" i="4"/>
  <c r="D395" i="4"/>
  <c r="G394" i="4"/>
  <c r="F394" i="4"/>
  <c r="D394" i="4"/>
  <c r="G393" i="4"/>
  <c r="F393" i="4"/>
  <c r="D393" i="4"/>
  <c r="G392" i="4"/>
  <c r="F392" i="4"/>
  <c r="D392" i="4"/>
  <c r="G391" i="4"/>
  <c r="F391" i="4"/>
  <c r="D391" i="4"/>
  <c r="G390" i="4"/>
  <c r="F390" i="4"/>
  <c r="D390" i="4"/>
  <c r="G389" i="4"/>
  <c r="F389" i="4"/>
  <c r="D389" i="4"/>
  <c r="G388" i="4"/>
  <c r="F388" i="4"/>
  <c r="D388" i="4"/>
  <c r="G387" i="4"/>
  <c r="F387" i="4"/>
  <c r="D387" i="4"/>
  <c r="G386" i="4"/>
  <c r="F386" i="4"/>
  <c r="D386" i="4"/>
  <c r="G385" i="4"/>
  <c r="F385" i="4"/>
  <c r="D385" i="4"/>
  <c r="G384" i="4"/>
  <c r="F384" i="4"/>
  <c r="D384" i="4"/>
  <c r="G383" i="4"/>
  <c r="F383" i="4"/>
  <c r="D383" i="4"/>
  <c r="G382" i="4"/>
  <c r="F382" i="4"/>
  <c r="D382" i="4"/>
  <c r="G381" i="4"/>
  <c r="F381" i="4"/>
  <c r="D381" i="4"/>
  <c r="G380" i="4"/>
  <c r="F380" i="4"/>
  <c r="D380" i="4"/>
  <c r="G379" i="4"/>
  <c r="F379" i="4"/>
  <c r="D379" i="4"/>
  <c r="G378" i="4"/>
  <c r="F378" i="4"/>
  <c r="D378" i="4"/>
  <c r="G377" i="4"/>
  <c r="F377" i="4"/>
  <c r="D377" i="4"/>
  <c r="G376" i="4"/>
  <c r="F376" i="4"/>
  <c r="D376" i="4"/>
  <c r="G375" i="4"/>
  <c r="F375" i="4"/>
  <c r="D375" i="4"/>
  <c r="G374" i="4"/>
  <c r="F374" i="4"/>
  <c r="D374" i="4"/>
  <c r="G373" i="4"/>
  <c r="F373" i="4"/>
  <c r="D373" i="4"/>
  <c r="G372" i="4"/>
  <c r="F372" i="4"/>
  <c r="D372" i="4"/>
  <c r="G371" i="4"/>
  <c r="F371" i="4"/>
  <c r="D371" i="4"/>
  <c r="G370" i="4"/>
  <c r="F370" i="4"/>
  <c r="D370" i="4"/>
  <c r="G369" i="4"/>
  <c r="F369" i="4"/>
  <c r="D369" i="4"/>
  <c r="G368" i="4"/>
  <c r="F368" i="4"/>
  <c r="D368" i="4"/>
  <c r="G367" i="4"/>
  <c r="F367" i="4"/>
  <c r="D367" i="4"/>
  <c r="G366" i="4"/>
  <c r="F366" i="4"/>
  <c r="D366" i="4"/>
  <c r="G365" i="4"/>
  <c r="F365" i="4"/>
  <c r="D365" i="4"/>
  <c r="G364" i="4"/>
  <c r="F364" i="4"/>
  <c r="D364" i="4"/>
  <c r="G363" i="4"/>
  <c r="F363" i="4"/>
  <c r="D363" i="4"/>
  <c r="G362" i="4"/>
  <c r="F362" i="4"/>
  <c r="D362" i="4"/>
  <c r="G361" i="4"/>
  <c r="F361" i="4"/>
  <c r="D361" i="4"/>
  <c r="G360" i="4"/>
  <c r="F360" i="4"/>
  <c r="D360" i="4"/>
  <c r="G359" i="4"/>
  <c r="F359" i="4"/>
  <c r="D359" i="4"/>
  <c r="G358" i="4"/>
  <c r="F358" i="4"/>
  <c r="D358" i="4"/>
  <c r="G357" i="4"/>
  <c r="F357" i="4"/>
  <c r="D357" i="4"/>
  <c r="G356" i="4"/>
  <c r="F356" i="4"/>
  <c r="D356" i="4"/>
  <c r="G355" i="4"/>
  <c r="F355" i="4"/>
  <c r="D355" i="4"/>
  <c r="G354" i="4"/>
  <c r="F354" i="4"/>
  <c r="D354" i="4"/>
  <c r="G353" i="4"/>
  <c r="F353" i="4"/>
  <c r="D353" i="4"/>
  <c r="G352" i="4"/>
  <c r="F352" i="4"/>
  <c r="D352" i="4"/>
  <c r="G351" i="4"/>
  <c r="F351" i="4"/>
  <c r="D351" i="4"/>
  <c r="G350" i="4"/>
  <c r="F350" i="4"/>
  <c r="D350" i="4"/>
  <c r="G349" i="4"/>
  <c r="F349" i="4"/>
  <c r="D349" i="4"/>
  <c r="G348" i="4"/>
  <c r="F348" i="4"/>
  <c r="D348" i="4"/>
  <c r="G347" i="4"/>
  <c r="F347" i="4"/>
  <c r="D347" i="4"/>
  <c r="G346" i="4"/>
  <c r="F346" i="4"/>
  <c r="D346" i="4"/>
  <c r="G345" i="4"/>
  <c r="F345" i="4"/>
  <c r="D345" i="4"/>
  <c r="G344" i="4"/>
  <c r="F344" i="4"/>
  <c r="D344" i="4"/>
  <c r="G343" i="4"/>
  <c r="F343" i="4"/>
  <c r="D343" i="4"/>
  <c r="G342" i="4"/>
  <c r="F342" i="4"/>
  <c r="D342" i="4"/>
  <c r="G341" i="4"/>
  <c r="F341" i="4"/>
  <c r="D341" i="4"/>
  <c r="G340" i="4"/>
  <c r="F340" i="4"/>
  <c r="D340" i="4"/>
  <c r="G339" i="4"/>
  <c r="F339" i="4"/>
  <c r="D339" i="4"/>
  <c r="G338" i="4"/>
  <c r="F338" i="4"/>
  <c r="D338" i="4"/>
  <c r="G337" i="4"/>
  <c r="F337" i="4"/>
  <c r="D337" i="4"/>
  <c r="G336" i="4"/>
  <c r="F336" i="4"/>
  <c r="D336" i="4"/>
  <c r="G335" i="4"/>
  <c r="F335" i="4"/>
  <c r="D335" i="4"/>
  <c r="G334" i="4"/>
  <c r="F334" i="4"/>
  <c r="D334" i="4"/>
  <c r="G333" i="4"/>
  <c r="F333" i="4"/>
  <c r="D333" i="4"/>
  <c r="G332" i="4"/>
  <c r="F332" i="4"/>
  <c r="D332" i="4"/>
  <c r="G331" i="4"/>
  <c r="F331" i="4"/>
  <c r="D331" i="4"/>
  <c r="G330" i="4"/>
  <c r="F330" i="4"/>
  <c r="D330" i="4"/>
  <c r="G329" i="4"/>
  <c r="F329" i="4"/>
  <c r="D329" i="4"/>
  <c r="G328" i="4"/>
  <c r="F328" i="4"/>
  <c r="D328" i="4"/>
  <c r="G327" i="4"/>
  <c r="F327" i="4"/>
  <c r="D327" i="4"/>
  <c r="G326" i="4"/>
  <c r="F326" i="4"/>
  <c r="D326" i="4"/>
  <c r="G325" i="4"/>
  <c r="F325" i="4"/>
  <c r="D325" i="4"/>
  <c r="G324" i="4"/>
  <c r="F324" i="4"/>
  <c r="D324" i="4"/>
  <c r="G323" i="4"/>
  <c r="F323" i="4"/>
  <c r="D323" i="4"/>
  <c r="G322" i="4"/>
  <c r="F322" i="4"/>
  <c r="D322" i="4"/>
  <c r="G321" i="4"/>
  <c r="F321" i="4"/>
  <c r="D321" i="4"/>
  <c r="G320" i="4"/>
  <c r="F320" i="4"/>
  <c r="D320" i="4"/>
  <c r="G319" i="4"/>
  <c r="F319" i="4"/>
  <c r="D319" i="4"/>
  <c r="G318" i="4"/>
  <c r="F318" i="4"/>
  <c r="D318" i="4"/>
  <c r="G317" i="4"/>
  <c r="F317" i="4"/>
  <c r="D317" i="4"/>
  <c r="G316" i="4"/>
  <c r="F316" i="4"/>
  <c r="D316" i="4"/>
  <c r="G315" i="4"/>
  <c r="F315" i="4"/>
  <c r="D315" i="4"/>
  <c r="G314" i="4"/>
  <c r="F314" i="4"/>
  <c r="D314" i="4"/>
  <c r="G313" i="4"/>
  <c r="F313" i="4"/>
  <c r="D313" i="4"/>
  <c r="G312" i="4"/>
  <c r="F312" i="4"/>
  <c r="D312" i="4"/>
  <c r="G311" i="4"/>
  <c r="F311" i="4"/>
  <c r="D311" i="4"/>
  <c r="G310" i="4"/>
  <c r="F310" i="4"/>
  <c r="D310" i="4"/>
  <c r="G309" i="4"/>
  <c r="F309" i="4"/>
  <c r="D309" i="4"/>
  <c r="G308" i="4"/>
  <c r="F308" i="4"/>
  <c r="D308" i="4"/>
  <c r="G307" i="4"/>
  <c r="F307" i="4"/>
  <c r="D307" i="4"/>
  <c r="G306" i="4"/>
  <c r="F306" i="4"/>
  <c r="D306" i="4"/>
  <c r="G305" i="4"/>
  <c r="F305" i="4"/>
  <c r="D305" i="4"/>
  <c r="G304" i="4"/>
  <c r="F304" i="4"/>
  <c r="D304" i="4"/>
  <c r="G303" i="4"/>
  <c r="F303" i="4"/>
  <c r="D303" i="4"/>
  <c r="G302" i="4"/>
  <c r="F302" i="4"/>
  <c r="D302" i="4"/>
  <c r="G301" i="4"/>
  <c r="F301" i="4"/>
  <c r="D301" i="4"/>
  <c r="G300" i="4"/>
  <c r="F300" i="4"/>
  <c r="D300" i="4"/>
  <c r="G299" i="4"/>
  <c r="F299" i="4"/>
  <c r="D299" i="4"/>
  <c r="G298" i="4"/>
  <c r="F298" i="4"/>
  <c r="D298" i="4"/>
  <c r="G297" i="4"/>
  <c r="F297" i="4"/>
  <c r="D297" i="4"/>
  <c r="G296" i="4"/>
  <c r="F296" i="4"/>
  <c r="D296" i="4"/>
  <c r="G295" i="4"/>
  <c r="F295" i="4"/>
  <c r="D295" i="4"/>
  <c r="G294" i="4"/>
  <c r="F294" i="4"/>
  <c r="D294" i="4"/>
  <c r="G293" i="4"/>
  <c r="F293" i="4"/>
  <c r="D293" i="4"/>
  <c r="G292" i="4"/>
  <c r="F292" i="4"/>
  <c r="D292" i="4"/>
  <c r="G291" i="4"/>
  <c r="F291" i="4"/>
  <c r="D291" i="4"/>
  <c r="G290" i="4"/>
  <c r="F290" i="4"/>
  <c r="D290" i="4"/>
  <c r="G289" i="4"/>
  <c r="F289" i="4"/>
  <c r="D289" i="4"/>
  <c r="G288" i="4"/>
  <c r="F288" i="4"/>
  <c r="D288" i="4"/>
  <c r="G287" i="4"/>
  <c r="F287" i="4"/>
  <c r="D287" i="4"/>
  <c r="G286" i="4"/>
  <c r="F286" i="4"/>
  <c r="D286" i="4"/>
  <c r="G285" i="4"/>
  <c r="F285" i="4"/>
  <c r="D285" i="4"/>
  <c r="G284" i="4"/>
  <c r="F284" i="4"/>
  <c r="D284" i="4"/>
  <c r="G283" i="4"/>
  <c r="F283" i="4"/>
  <c r="D283" i="4"/>
  <c r="G282" i="4"/>
  <c r="F282" i="4"/>
  <c r="D282" i="4"/>
  <c r="G281" i="4"/>
  <c r="F281" i="4"/>
  <c r="D281" i="4"/>
  <c r="G280" i="4"/>
  <c r="F280" i="4"/>
  <c r="D280" i="4"/>
  <c r="G279" i="4"/>
  <c r="F279" i="4"/>
  <c r="D279" i="4"/>
  <c r="G278" i="4"/>
  <c r="F278" i="4"/>
  <c r="D278" i="4"/>
  <c r="G277" i="4"/>
  <c r="F277" i="4"/>
  <c r="D277" i="4"/>
  <c r="G276" i="4"/>
  <c r="F276" i="4"/>
  <c r="D276" i="4"/>
  <c r="G275" i="4"/>
  <c r="F275" i="4"/>
  <c r="D275" i="4"/>
  <c r="G274" i="4"/>
  <c r="F274" i="4"/>
  <c r="D274" i="4"/>
  <c r="G273" i="4"/>
  <c r="F273" i="4"/>
  <c r="D273" i="4"/>
  <c r="G272" i="4"/>
  <c r="F272" i="4"/>
  <c r="D272" i="4"/>
  <c r="G271" i="4"/>
  <c r="F271" i="4"/>
  <c r="D271" i="4"/>
  <c r="G270" i="4"/>
  <c r="F270" i="4"/>
  <c r="D270" i="4"/>
  <c r="G269" i="4"/>
  <c r="F269" i="4"/>
  <c r="D269" i="4"/>
  <c r="G268" i="4"/>
  <c r="F268" i="4"/>
  <c r="D268" i="4"/>
  <c r="G267" i="4"/>
  <c r="F267" i="4"/>
  <c r="D267" i="4"/>
  <c r="G266" i="4"/>
  <c r="F266" i="4"/>
  <c r="D266" i="4"/>
  <c r="G265" i="4"/>
  <c r="F265" i="4"/>
  <c r="D265" i="4"/>
  <c r="G264" i="4"/>
  <c r="F264" i="4"/>
  <c r="D264" i="4"/>
  <c r="G263" i="4"/>
  <c r="F263" i="4"/>
  <c r="D263" i="4"/>
  <c r="G262" i="4"/>
  <c r="F262" i="4"/>
  <c r="D262" i="4"/>
  <c r="G261" i="4"/>
  <c r="F261" i="4"/>
  <c r="D261" i="4"/>
  <c r="G260" i="4"/>
  <c r="F260" i="4"/>
  <c r="D260" i="4"/>
  <c r="G259" i="4"/>
  <c r="F259" i="4"/>
  <c r="D259" i="4"/>
  <c r="G258" i="4"/>
  <c r="F258" i="4"/>
  <c r="D258" i="4"/>
  <c r="G257" i="4"/>
  <c r="F257" i="4"/>
  <c r="D257" i="4"/>
  <c r="G256" i="4"/>
  <c r="F256" i="4"/>
  <c r="D256" i="4"/>
  <c r="G255" i="4"/>
  <c r="F255" i="4"/>
  <c r="D255" i="4"/>
  <c r="G254" i="4"/>
  <c r="F254" i="4"/>
  <c r="D254" i="4"/>
  <c r="G253" i="4"/>
  <c r="F253" i="4"/>
  <c r="D253" i="4"/>
  <c r="G252" i="4"/>
  <c r="F252" i="4"/>
  <c r="D252" i="4"/>
  <c r="G251" i="4"/>
  <c r="F251" i="4"/>
  <c r="D251" i="4"/>
  <c r="G250" i="4"/>
  <c r="F250" i="4"/>
  <c r="D250" i="4"/>
  <c r="G249" i="4"/>
  <c r="F249" i="4"/>
  <c r="D249" i="4"/>
  <c r="G248" i="4"/>
  <c r="F248" i="4"/>
  <c r="D248" i="4"/>
  <c r="G247" i="4"/>
  <c r="F247" i="4"/>
  <c r="D247" i="4"/>
  <c r="G246" i="4"/>
  <c r="F246" i="4"/>
  <c r="D246" i="4"/>
  <c r="G245" i="4"/>
  <c r="F245" i="4"/>
  <c r="D245" i="4"/>
  <c r="G244" i="4"/>
  <c r="F244" i="4"/>
  <c r="D244" i="4"/>
  <c r="G243" i="4"/>
  <c r="F243" i="4"/>
  <c r="D243" i="4"/>
  <c r="G242" i="4"/>
  <c r="F242" i="4"/>
  <c r="D242" i="4"/>
  <c r="G241" i="4"/>
  <c r="F241" i="4"/>
  <c r="D241" i="4"/>
  <c r="G240" i="4"/>
  <c r="F240" i="4"/>
  <c r="D240" i="4"/>
  <c r="G239" i="4"/>
  <c r="F239" i="4"/>
  <c r="D239" i="4"/>
  <c r="G238" i="4"/>
  <c r="F238" i="4"/>
  <c r="D238" i="4"/>
  <c r="G237" i="4"/>
  <c r="F237" i="4"/>
  <c r="D237" i="4"/>
  <c r="G236" i="4"/>
  <c r="F236" i="4"/>
  <c r="D236" i="4"/>
  <c r="G235" i="4"/>
  <c r="F235" i="4"/>
  <c r="D235" i="4"/>
  <c r="G234" i="4"/>
  <c r="F234" i="4"/>
  <c r="D234" i="4"/>
  <c r="G233" i="4"/>
  <c r="F233" i="4"/>
  <c r="D233" i="4"/>
  <c r="G232" i="4"/>
  <c r="F232" i="4"/>
  <c r="D232" i="4"/>
  <c r="G231" i="4"/>
  <c r="F231" i="4"/>
  <c r="D231" i="4"/>
  <c r="G230" i="4"/>
  <c r="F230" i="4"/>
  <c r="D230" i="4"/>
  <c r="G229" i="4"/>
  <c r="F229" i="4"/>
  <c r="D229" i="4"/>
  <c r="G228" i="4"/>
  <c r="F228" i="4"/>
  <c r="D228" i="4"/>
  <c r="G227" i="4"/>
  <c r="F227" i="4"/>
  <c r="D227" i="4"/>
  <c r="G226" i="4"/>
  <c r="F226" i="4"/>
  <c r="D226" i="4"/>
  <c r="G225" i="4"/>
  <c r="F225" i="4"/>
  <c r="D225" i="4"/>
  <c r="G224" i="4"/>
  <c r="F224" i="4"/>
  <c r="D224" i="4"/>
  <c r="G223" i="4"/>
  <c r="F223" i="4"/>
  <c r="D223" i="4"/>
  <c r="G222" i="4"/>
  <c r="F222" i="4"/>
  <c r="D222" i="4"/>
  <c r="G221" i="4"/>
  <c r="F221" i="4"/>
  <c r="D221" i="4"/>
  <c r="G220" i="4"/>
  <c r="F220" i="4"/>
  <c r="D220" i="4"/>
  <c r="G219" i="4"/>
  <c r="F219" i="4"/>
  <c r="D219" i="4"/>
  <c r="G218" i="4"/>
  <c r="F218" i="4"/>
  <c r="D218" i="4"/>
  <c r="G217" i="4"/>
  <c r="F217" i="4"/>
  <c r="D217" i="4"/>
  <c r="G216" i="4"/>
  <c r="F216" i="4"/>
  <c r="D216" i="4"/>
  <c r="G215" i="4"/>
  <c r="F215" i="4"/>
  <c r="D215" i="4"/>
  <c r="G214" i="4"/>
  <c r="F214" i="4"/>
  <c r="D214" i="4"/>
  <c r="G213" i="4"/>
  <c r="F213" i="4"/>
  <c r="G212" i="4"/>
  <c r="F212" i="4"/>
  <c r="D212" i="4"/>
  <c r="G211" i="4"/>
  <c r="F211" i="4"/>
  <c r="D211" i="4"/>
  <c r="G210" i="4"/>
  <c r="F210" i="4"/>
  <c r="D210" i="4"/>
  <c r="G209" i="4"/>
  <c r="F209" i="4"/>
  <c r="D209" i="4"/>
  <c r="G208" i="4"/>
  <c r="F208" i="4"/>
  <c r="D208" i="4"/>
  <c r="G207" i="4"/>
  <c r="F207" i="4"/>
  <c r="D207" i="4"/>
  <c r="G206" i="4"/>
  <c r="F206" i="4"/>
  <c r="D206" i="4"/>
  <c r="G205" i="4"/>
  <c r="F205" i="4"/>
  <c r="D205" i="4"/>
  <c r="G204" i="4"/>
  <c r="F204" i="4"/>
  <c r="D204" i="4"/>
  <c r="G203" i="4"/>
  <c r="F203" i="4"/>
  <c r="D203" i="4"/>
  <c r="G202" i="4"/>
  <c r="F202" i="4"/>
  <c r="D202" i="4"/>
  <c r="G201" i="4"/>
  <c r="F201" i="4"/>
  <c r="D201" i="4"/>
  <c r="G200" i="4"/>
  <c r="F200" i="4"/>
  <c r="D200" i="4"/>
  <c r="G199" i="4"/>
  <c r="F199" i="4"/>
  <c r="D199" i="4"/>
  <c r="G198" i="4"/>
  <c r="F198" i="4"/>
  <c r="D198" i="4"/>
  <c r="G197" i="4"/>
  <c r="F197" i="4"/>
  <c r="D197" i="4"/>
  <c r="G196" i="4"/>
  <c r="F196" i="4"/>
  <c r="D196" i="4"/>
  <c r="G195" i="4"/>
  <c r="F195" i="4"/>
  <c r="D195" i="4"/>
  <c r="G194" i="4"/>
  <c r="F194" i="4"/>
  <c r="D194" i="4"/>
  <c r="G193" i="4"/>
  <c r="F193" i="4"/>
  <c r="D193" i="4"/>
  <c r="G192" i="4"/>
  <c r="F192" i="4"/>
  <c r="D192" i="4"/>
  <c r="G191" i="4"/>
  <c r="F191" i="4"/>
  <c r="D191" i="4"/>
  <c r="G190" i="4"/>
  <c r="F190" i="4"/>
  <c r="D190" i="4"/>
  <c r="G189" i="4"/>
  <c r="F189" i="4"/>
  <c r="D189" i="4"/>
  <c r="G188" i="4"/>
  <c r="F188" i="4"/>
  <c r="D188" i="4"/>
  <c r="G187" i="4"/>
  <c r="F187" i="4"/>
  <c r="D187" i="4"/>
  <c r="G186" i="4"/>
  <c r="F186" i="4"/>
  <c r="D186" i="4"/>
  <c r="G185" i="4"/>
  <c r="F185" i="4"/>
  <c r="D185" i="4"/>
  <c r="G184" i="4"/>
  <c r="F184" i="4"/>
  <c r="D184" i="4"/>
  <c r="G183" i="4"/>
  <c r="F183" i="4"/>
  <c r="D183" i="4"/>
  <c r="G182" i="4"/>
  <c r="F182" i="4"/>
  <c r="D182" i="4"/>
  <c r="G181" i="4"/>
  <c r="F181" i="4"/>
  <c r="D181" i="4"/>
  <c r="G180" i="4"/>
  <c r="F180" i="4"/>
  <c r="D180" i="4"/>
  <c r="G179" i="4"/>
  <c r="F179" i="4"/>
  <c r="D179" i="4"/>
  <c r="G178" i="4"/>
  <c r="F178" i="4"/>
  <c r="D178" i="4"/>
  <c r="G177" i="4"/>
  <c r="F177" i="4"/>
  <c r="D177" i="4"/>
  <c r="G176" i="4"/>
  <c r="F176" i="4"/>
  <c r="D176" i="4"/>
  <c r="G175" i="4"/>
  <c r="F175" i="4"/>
  <c r="D175" i="4"/>
  <c r="G174" i="4"/>
  <c r="F174" i="4"/>
  <c r="D174" i="4"/>
  <c r="G173" i="4"/>
  <c r="F173" i="4"/>
  <c r="D173" i="4"/>
  <c r="G172" i="4"/>
  <c r="F172" i="4"/>
  <c r="D172" i="4"/>
  <c r="G171" i="4"/>
  <c r="F171" i="4"/>
  <c r="D171" i="4"/>
  <c r="G170" i="4"/>
  <c r="F170" i="4"/>
  <c r="D170" i="4"/>
  <c r="G169" i="4"/>
  <c r="F169" i="4"/>
  <c r="D169" i="4"/>
  <c r="G168" i="4"/>
  <c r="F168" i="4"/>
  <c r="D168" i="4"/>
  <c r="G167" i="4"/>
  <c r="F167" i="4"/>
  <c r="D167" i="4"/>
  <c r="G166" i="4"/>
  <c r="F166" i="4"/>
  <c r="D166" i="4"/>
  <c r="G165" i="4"/>
  <c r="F165" i="4"/>
  <c r="D165" i="4"/>
  <c r="G164" i="4"/>
  <c r="F164" i="4"/>
  <c r="D164" i="4"/>
  <c r="G163" i="4"/>
  <c r="F163" i="4"/>
  <c r="D163" i="4"/>
  <c r="G162" i="4"/>
  <c r="F162" i="4"/>
  <c r="D162" i="4"/>
  <c r="G161" i="4"/>
  <c r="F161" i="4"/>
  <c r="D161" i="4"/>
  <c r="G160" i="4"/>
  <c r="F160" i="4"/>
  <c r="D160" i="4"/>
  <c r="G159" i="4"/>
  <c r="F159" i="4"/>
  <c r="D159" i="4"/>
  <c r="G158" i="4"/>
  <c r="F158" i="4"/>
  <c r="D158" i="4"/>
  <c r="G157" i="4"/>
  <c r="F157" i="4"/>
  <c r="D157" i="4"/>
  <c r="G156" i="4"/>
  <c r="F156" i="4"/>
  <c r="D156" i="4"/>
  <c r="G155" i="4"/>
  <c r="F155" i="4"/>
  <c r="D155" i="4"/>
  <c r="G154" i="4"/>
  <c r="F154" i="4"/>
  <c r="D154" i="4"/>
  <c r="G153" i="4"/>
  <c r="F153" i="4"/>
  <c r="D153" i="4"/>
  <c r="G152" i="4"/>
  <c r="F152" i="4"/>
  <c r="D152" i="4"/>
  <c r="G151" i="4"/>
  <c r="F151" i="4"/>
  <c r="D151" i="4"/>
  <c r="G150" i="4"/>
  <c r="F150" i="4"/>
  <c r="D150" i="4"/>
  <c r="G149" i="4"/>
  <c r="F149" i="4"/>
  <c r="D149" i="4"/>
  <c r="G148" i="4"/>
  <c r="F148" i="4"/>
  <c r="D148" i="4"/>
  <c r="G147" i="4"/>
  <c r="F147" i="4"/>
  <c r="D147" i="4"/>
  <c r="G146" i="4"/>
  <c r="F146" i="4"/>
  <c r="D146" i="4"/>
  <c r="G145" i="4"/>
  <c r="F145" i="4"/>
  <c r="D145" i="4"/>
  <c r="G144" i="4"/>
  <c r="F144" i="4"/>
  <c r="D144" i="4"/>
  <c r="G143" i="4"/>
  <c r="F143" i="4"/>
  <c r="D143" i="4"/>
  <c r="G142" i="4"/>
  <c r="F142" i="4"/>
  <c r="D142" i="4"/>
  <c r="G141" i="4"/>
  <c r="F141" i="4"/>
  <c r="D141" i="4"/>
  <c r="G140" i="4"/>
  <c r="F140" i="4"/>
  <c r="D140" i="4"/>
  <c r="G139" i="4"/>
  <c r="F139" i="4"/>
  <c r="D139" i="4"/>
  <c r="G138" i="4"/>
  <c r="F138" i="4"/>
  <c r="D138" i="4"/>
  <c r="G137" i="4"/>
  <c r="F137" i="4"/>
  <c r="D137" i="4"/>
  <c r="G136" i="4"/>
  <c r="F136" i="4"/>
  <c r="D136" i="4"/>
  <c r="G135" i="4"/>
  <c r="F135" i="4"/>
  <c r="D135" i="4"/>
  <c r="G134" i="4"/>
  <c r="F134" i="4"/>
  <c r="D134" i="4"/>
  <c r="G133" i="4"/>
  <c r="F133" i="4"/>
  <c r="D133" i="4"/>
  <c r="G132" i="4"/>
  <c r="F132" i="4"/>
  <c r="D132" i="4"/>
  <c r="G131" i="4"/>
  <c r="F131" i="4"/>
  <c r="D131" i="4"/>
  <c r="G130" i="4"/>
  <c r="F130" i="4"/>
  <c r="D130" i="4"/>
  <c r="G129" i="4"/>
  <c r="F129" i="4"/>
  <c r="D129" i="4"/>
  <c r="G128" i="4"/>
  <c r="F128" i="4"/>
  <c r="D128" i="4"/>
  <c r="G127" i="4"/>
  <c r="F127" i="4"/>
  <c r="D127" i="4"/>
  <c r="G126" i="4"/>
  <c r="F126" i="4"/>
  <c r="D126" i="4"/>
  <c r="G125" i="4"/>
  <c r="F125" i="4"/>
  <c r="D125" i="4"/>
  <c r="G124" i="4"/>
  <c r="F124" i="4"/>
  <c r="D124" i="4"/>
  <c r="G123" i="4"/>
  <c r="F123" i="4"/>
  <c r="D123" i="4"/>
  <c r="G122" i="4"/>
  <c r="F122" i="4"/>
  <c r="D122" i="4"/>
  <c r="G121" i="4"/>
  <c r="F121" i="4"/>
  <c r="D121" i="4"/>
  <c r="G120" i="4"/>
  <c r="F120" i="4"/>
  <c r="D120" i="4"/>
  <c r="G119" i="4"/>
  <c r="F119" i="4"/>
  <c r="D119" i="4"/>
  <c r="G118" i="4"/>
  <c r="F118" i="4"/>
  <c r="D118" i="4"/>
  <c r="G117" i="4"/>
  <c r="F117" i="4"/>
  <c r="D117" i="4"/>
  <c r="G116" i="4"/>
  <c r="F116" i="4"/>
  <c r="D116" i="4"/>
  <c r="G115" i="4"/>
  <c r="F115" i="4"/>
  <c r="D115" i="4"/>
  <c r="G114" i="4"/>
  <c r="F114" i="4"/>
  <c r="D114" i="4"/>
  <c r="G113" i="4"/>
  <c r="F113" i="4"/>
  <c r="D113" i="4"/>
  <c r="G112" i="4"/>
  <c r="F112" i="4"/>
  <c r="D112" i="4"/>
  <c r="G111" i="4"/>
  <c r="F111" i="4"/>
  <c r="D111" i="4"/>
  <c r="G110" i="4"/>
  <c r="F110" i="4"/>
  <c r="D110" i="4"/>
  <c r="G109" i="4"/>
  <c r="F109" i="4"/>
  <c r="D109" i="4"/>
  <c r="G108" i="4"/>
  <c r="F108" i="4"/>
  <c r="D108" i="4"/>
  <c r="G107" i="4"/>
  <c r="F107" i="4"/>
  <c r="D107" i="4"/>
  <c r="G106" i="4"/>
  <c r="F106" i="4"/>
  <c r="D106" i="4"/>
  <c r="G105" i="4"/>
  <c r="F105" i="4"/>
  <c r="D105" i="4"/>
  <c r="G104" i="4"/>
  <c r="F104" i="4"/>
  <c r="D104" i="4"/>
  <c r="G103" i="4"/>
  <c r="F103" i="4"/>
  <c r="D103" i="4"/>
  <c r="G102" i="4"/>
  <c r="F102" i="4"/>
  <c r="D102" i="4"/>
  <c r="G101" i="4"/>
  <c r="F101" i="4"/>
  <c r="D101" i="4"/>
  <c r="G100" i="4"/>
  <c r="F100" i="4"/>
  <c r="D100" i="4"/>
  <c r="G99" i="4"/>
  <c r="F99" i="4"/>
  <c r="D99" i="4"/>
  <c r="G98" i="4"/>
  <c r="F98" i="4"/>
  <c r="D98" i="4"/>
  <c r="G97" i="4"/>
  <c r="F97" i="4"/>
  <c r="D97" i="4"/>
  <c r="G96" i="4"/>
  <c r="F96" i="4"/>
  <c r="D96" i="4"/>
  <c r="G95" i="4"/>
  <c r="F95" i="4"/>
  <c r="D95" i="4"/>
  <c r="G94" i="4"/>
  <c r="F94" i="4"/>
  <c r="D94" i="4"/>
  <c r="G93" i="4"/>
  <c r="F93" i="4"/>
  <c r="D93" i="4"/>
  <c r="G92" i="4"/>
  <c r="F92" i="4"/>
  <c r="D92" i="4"/>
  <c r="G91" i="4"/>
  <c r="F91" i="4"/>
  <c r="D91" i="4"/>
  <c r="G90" i="4"/>
  <c r="F90" i="4"/>
  <c r="D90" i="4"/>
  <c r="G89" i="4"/>
  <c r="F89" i="4"/>
  <c r="D89" i="4"/>
  <c r="G88" i="4"/>
  <c r="F88" i="4"/>
  <c r="D88" i="4"/>
  <c r="G87" i="4"/>
  <c r="F87" i="4"/>
  <c r="D87" i="4"/>
  <c r="G86" i="4"/>
  <c r="F86" i="4"/>
  <c r="D86" i="4"/>
  <c r="G85" i="4"/>
  <c r="F85" i="4"/>
  <c r="D85" i="4"/>
  <c r="G84" i="4"/>
  <c r="F84" i="4"/>
  <c r="D84" i="4"/>
  <c r="G83" i="4"/>
  <c r="F83" i="4"/>
  <c r="D83" i="4"/>
  <c r="G82" i="4"/>
  <c r="F82" i="4"/>
  <c r="D82" i="4"/>
  <c r="G81" i="4"/>
  <c r="F81" i="4"/>
  <c r="D81" i="4"/>
  <c r="G80" i="4"/>
  <c r="F80" i="4"/>
  <c r="D80" i="4"/>
  <c r="G79" i="4"/>
  <c r="F79" i="4"/>
  <c r="D79" i="4"/>
  <c r="G78" i="4"/>
  <c r="F78" i="4"/>
  <c r="D78" i="4"/>
  <c r="G77" i="4"/>
  <c r="F77" i="4"/>
  <c r="D77" i="4"/>
  <c r="G76" i="4"/>
  <c r="F76" i="4"/>
  <c r="D76" i="4"/>
  <c r="G75" i="4"/>
  <c r="F75" i="4"/>
  <c r="D75" i="4"/>
  <c r="G74" i="4"/>
  <c r="F74" i="4"/>
  <c r="D74" i="4"/>
  <c r="G73" i="4"/>
  <c r="F73" i="4"/>
  <c r="D73" i="4"/>
  <c r="G72" i="4"/>
  <c r="F72" i="4"/>
  <c r="D72" i="4"/>
  <c r="G71" i="4"/>
  <c r="F71" i="4"/>
  <c r="D71" i="4"/>
  <c r="G70" i="4"/>
  <c r="F70" i="4"/>
  <c r="D70" i="4"/>
  <c r="G69" i="4"/>
  <c r="F69" i="4"/>
  <c r="D69" i="4"/>
  <c r="G68" i="4"/>
  <c r="F68" i="4"/>
  <c r="D68" i="4"/>
  <c r="G67" i="4"/>
  <c r="F67" i="4"/>
  <c r="D67" i="4"/>
  <c r="G66" i="4"/>
  <c r="F66" i="4"/>
  <c r="D66" i="4"/>
  <c r="G65" i="4"/>
  <c r="F65" i="4"/>
  <c r="D65" i="4"/>
  <c r="G64" i="4"/>
  <c r="F64" i="4"/>
  <c r="D64" i="4"/>
  <c r="G63" i="4"/>
  <c r="F63" i="4"/>
  <c r="D63" i="4"/>
  <c r="G62" i="4"/>
  <c r="F62" i="4"/>
  <c r="D62" i="4"/>
  <c r="G61" i="4"/>
  <c r="F61" i="4"/>
  <c r="D61" i="4"/>
  <c r="G60" i="4"/>
  <c r="F60" i="4"/>
  <c r="D60" i="4"/>
  <c r="G59" i="4"/>
  <c r="F59" i="4"/>
  <c r="D59" i="4"/>
  <c r="G58" i="4"/>
  <c r="F58" i="4"/>
  <c r="D58" i="4"/>
  <c r="G57" i="4"/>
  <c r="F57" i="4"/>
  <c r="D57" i="4"/>
  <c r="G56" i="4"/>
  <c r="F56" i="4"/>
  <c r="D56" i="4"/>
  <c r="G55" i="4"/>
  <c r="F55" i="4"/>
  <c r="D55" i="4"/>
  <c r="G54" i="4"/>
  <c r="F54" i="4"/>
  <c r="D54" i="4"/>
  <c r="G53" i="4"/>
  <c r="F53" i="4"/>
  <c r="D53" i="4"/>
  <c r="G52" i="4"/>
  <c r="F52" i="4"/>
  <c r="D52" i="4"/>
  <c r="G51" i="4"/>
  <c r="F51" i="4"/>
  <c r="D51" i="4"/>
  <c r="G50" i="4"/>
  <c r="F50" i="4"/>
  <c r="D50" i="4"/>
  <c r="G49" i="4"/>
  <c r="F49" i="4"/>
  <c r="D49" i="4"/>
  <c r="G48" i="4"/>
  <c r="F48" i="4"/>
  <c r="D48" i="4"/>
  <c r="G47" i="4"/>
  <c r="F47" i="4"/>
  <c r="D47" i="4"/>
  <c r="G46" i="4"/>
  <c r="F46" i="4"/>
  <c r="D46" i="4"/>
  <c r="G45" i="4"/>
  <c r="F45" i="4"/>
  <c r="D45" i="4"/>
  <c r="G44" i="4"/>
  <c r="F44" i="4"/>
  <c r="D44" i="4"/>
  <c r="G43" i="4"/>
  <c r="F43" i="4"/>
  <c r="D43" i="4"/>
  <c r="G42" i="4"/>
  <c r="F42" i="4"/>
  <c r="D42" i="4"/>
  <c r="G41" i="4"/>
  <c r="F41" i="4"/>
  <c r="D41" i="4"/>
  <c r="G40" i="4"/>
  <c r="F40" i="4"/>
  <c r="D40" i="4"/>
  <c r="G39" i="4"/>
  <c r="F39" i="4"/>
  <c r="D39" i="4"/>
  <c r="G38" i="4"/>
  <c r="F38" i="4"/>
  <c r="D38" i="4"/>
  <c r="G37" i="4"/>
  <c r="F37" i="4"/>
  <c r="D37" i="4"/>
  <c r="G36" i="4"/>
  <c r="F36" i="4"/>
  <c r="D36" i="4"/>
  <c r="G35" i="4"/>
  <c r="F35" i="4"/>
  <c r="D35" i="4"/>
  <c r="G34" i="4"/>
  <c r="F34" i="4"/>
  <c r="D34" i="4"/>
  <c r="G33" i="4"/>
  <c r="F33" i="4"/>
  <c r="D33" i="4"/>
  <c r="G32" i="4"/>
  <c r="F32" i="4"/>
  <c r="D32" i="4"/>
  <c r="G31" i="4"/>
  <c r="F31" i="4"/>
  <c r="D31" i="4"/>
  <c r="G30" i="4"/>
  <c r="F30" i="4"/>
  <c r="D30" i="4"/>
  <c r="G29" i="4"/>
  <c r="F29" i="4"/>
  <c r="D29" i="4"/>
  <c r="G28" i="4"/>
  <c r="F28" i="4"/>
  <c r="D28" i="4"/>
  <c r="G27" i="4"/>
  <c r="F27" i="4"/>
  <c r="D27" i="4"/>
  <c r="G26" i="4"/>
  <c r="F26" i="4"/>
  <c r="D26" i="4"/>
  <c r="G25" i="4"/>
  <c r="F25" i="4"/>
  <c r="D25" i="4"/>
  <c r="G24" i="4"/>
  <c r="F24" i="4"/>
  <c r="D24" i="4"/>
  <c r="G23" i="4"/>
  <c r="F23" i="4"/>
  <c r="D23" i="4"/>
  <c r="G22" i="4"/>
  <c r="F22" i="4"/>
  <c r="D22" i="4"/>
  <c r="G21" i="4"/>
  <c r="F21" i="4"/>
  <c r="D21" i="4"/>
  <c r="G20" i="4"/>
  <c r="F20" i="4"/>
  <c r="D20" i="4"/>
  <c r="G19" i="4"/>
  <c r="F19" i="4"/>
  <c r="D19" i="4"/>
  <c r="G18" i="4"/>
  <c r="F18" i="4"/>
  <c r="D18" i="4"/>
  <c r="G17" i="4"/>
  <c r="F17" i="4"/>
  <c r="D17" i="4"/>
  <c r="G16" i="4"/>
  <c r="F16" i="4"/>
  <c r="D16" i="4"/>
  <c r="G15" i="4"/>
  <c r="F15" i="4"/>
  <c r="D15" i="4"/>
  <c r="G14" i="4"/>
  <c r="F14" i="4"/>
  <c r="D14" i="4"/>
  <c r="G13" i="4"/>
  <c r="F13" i="4"/>
  <c r="D13" i="4"/>
  <c r="G12" i="4"/>
  <c r="F12" i="4"/>
  <c r="D12" i="4"/>
  <c r="G11" i="4"/>
  <c r="F11" i="4"/>
  <c r="D11" i="4"/>
  <c r="G10" i="4"/>
  <c r="F10" i="4"/>
  <c r="D10" i="4"/>
  <c r="G9" i="4"/>
  <c r="F9" i="4"/>
  <c r="D9" i="4"/>
  <c r="G8" i="4"/>
  <c r="F8" i="4"/>
  <c r="D8" i="4"/>
  <c r="G7" i="4"/>
  <c r="F7" i="4"/>
  <c r="D7" i="4"/>
  <c r="G6" i="4"/>
  <c r="F6" i="4"/>
  <c r="D6" i="4"/>
  <c r="G5" i="4"/>
  <c r="F5" i="4"/>
  <c r="D5" i="4"/>
  <c r="G4" i="4"/>
  <c r="F4" i="4"/>
  <c r="D4" i="4"/>
  <c r="G3" i="4"/>
  <c r="F3" i="4"/>
  <c r="D3" i="4"/>
  <c r="G2" i="4"/>
  <c r="F2" i="4"/>
  <c r="D2" i="4"/>
  <c r="J1001" i="4"/>
  <c r="H1001" i="4"/>
  <c r="E1001" i="4"/>
  <c r="C1001" i="4"/>
  <c r="A1001" i="4"/>
  <c r="J1000" i="4"/>
  <c r="H1000" i="4"/>
  <c r="E1000" i="4"/>
  <c r="C1000" i="4"/>
  <c r="A1000" i="4"/>
  <c r="J999" i="4"/>
  <c r="H999" i="4"/>
  <c r="E999" i="4"/>
  <c r="C999" i="4"/>
  <c r="A999" i="4"/>
  <c r="J998" i="4"/>
  <c r="H998" i="4"/>
  <c r="E998" i="4"/>
  <c r="C998" i="4"/>
  <c r="A998" i="4"/>
  <c r="J997" i="4"/>
  <c r="H997" i="4"/>
  <c r="E997" i="4"/>
  <c r="C997" i="4"/>
  <c r="A997" i="4"/>
  <c r="J996" i="4"/>
  <c r="H996" i="4"/>
  <c r="E996" i="4"/>
  <c r="C996" i="4"/>
  <c r="A996" i="4"/>
  <c r="J995" i="4"/>
  <c r="H995" i="4"/>
  <c r="E995" i="4"/>
  <c r="C995" i="4"/>
  <c r="A995" i="4"/>
  <c r="J994" i="4"/>
  <c r="H994" i="4"/>
  <c r="E994" i="4"/>
  <c r="C994" i="4"/>
  <c r="A994" i="4"/>
  <c r="J993" i="4"/>
  <c r="H993" i="4"/>
  <c r="E993" i="4"/>
  <c r="C993" i="4"/>
  <c r="A993" i="4"/>
  <c r="J992" i="4"/>
  <c r="H992" i="4"/>
  <c r="E992" i="4"/>
  <c r="C992" i="4"/>
  <c r="A992" i="4"/>
  <c r="J991" i="4"/>
  <c r="H991" i="4"/>
  <c r="E991" i="4"/>
  <c r="C991" i="4"/>
  <c r="A991" i="4"/>
  <c r="J990" i="4"/>
  <c r="H990" i="4"/>
  <c r="E990" i="4"/>
  <c r="C990" i="4"/>
  <c r="A990" i="4"/>
  <c r="J989" i="4"/>
  <c r="H989" i="4"/>
  <c r="E989" i="4"/>
  <c r="C989" i="4"/>
  <c r="A989" i="4"/>
  <c r="J988" i="4"/>
  <c r="H988" i="4"/>
  <c r="E988" i="4"/>
  <c r="C988" i="4"/>
  <c r="A988" i="4"/>
  <c r="J987" i="4"/>
  <c r="H987" i="4"/>
  <c r="E987" i="4"/>
  <c r="C987" i="4"/>
  <c r="A987" i="4"/>
  <c r="J986" i="4"/>
  <c r="H986" i="4"/>
  <c r="E986" i="4"/>
  <c r="C986" i="4"/>
  <c r="A986" i="4"/>
  <c r="J985" i="4"/>
  <c r="H985" i="4"/>
  <c r="E985" i="4"/>
  <c r="C985" i="4"/>
  <c r="A985" i="4"/>
  <c r="J984" i="4"/>
  <c r="H984" i="4"/>
  <c r="E984" i="4"/>
  <c r="C984" i="4"/>
  <c r="A984" i="4"/>
  <c r="J983" i="4"/>
  <c r="H983" i="4"/>
  <c r="E983" i="4"/>
  <c r="C983" i="4"/>
  <c r="A983" i="4"/>
  <c r="J982" i="4"/>
  <c r="H982" i="4"/>
  <c r="E982" i="4"/>
  <c r="C982" i="4"/>
  <c r="A982" i="4"/>
  <c r="J981" i="4"/>
  <c r="H981" i="4"/>
  <c r="E981" i="4"/>
  <c r="C981" i="4"/>
  <c r="A981" i="4"/>
  <c r="J980" i="4"/>
  <c r="H980" i="4"/>
  <c r="E980" i="4"/>
  <c r="C980" i="4"/>
  <c r="A980" i="4"/>
  <c r="J979" i="4"/>
  <c r="H979" i="4"/>
  <c r="E979" i="4"/>
  <c r="C979" i="4"/>
  <c r="A979" i="4"/>
  <c r="J978" i="4"/>
  <c r="H978" i="4"/>
  <c r="E978" i="4"/>
  <c r="C978" i="4"/>
  <c r="A978" i="4"/>
  <c r="J977" i="4"/>
  <c r="H977" i="4"/>
  <c r="E977" i="4"/>
  <c r="C977" i="4"/>
  <c r="A977" i="4"/>
  <c r="J976" i="4"/>
  <c r="H976" i="4"/>
  <c r="E976" i="4"/>
  <c r="C976" i="4"/>
  <c r="A976" i="4"/>
  <c r="J975" i="4"/>
  <c r="H975" i="4"/>
  <c r="E975" i="4"/>
  <c r="C975" i="4"/>
  <c r="A975" i="4"/>
  <c r="J974" i="4"/>
  <c r="H974" i="4"/>
  <c r="E974" i="4"/>
  <c r="C974" i="4"/>
  <c r="A974" i="4"/>
  <c r="J973" i="4"/>
  <c r="H973" i="4"/>
  <c r="E973" i="4"/>
  <c r="C973" i="4"/>
  <c r="A973" i="4"/>
  <c r="J972" i="4"/>
  <c r="H972" i="4"/>
  <c r="E972" i="4"/>
  <c r="C972" i="4"/>
  <c r="A972" i="4"/>
  <c r="J971" i="4"/>
  <c r="H971" i="4"/>
  <c r="E971" i="4"/>
  <c r="C971" i="4"/>
  <c r="A971" i="4"/>
  <c r="J970" i="4"/>
  <c r="H970" i="4"/>
  <c r="E970" i="4"/>
  <c r="C970" i="4"/>
  <c r="A970" i="4"/>
  <c r="J969" i="4"/>
  <c r="H969" i="4"/>
  <c r="E969" i="4"/>
  <c r="C969" i="4"/>
  <c r="A969" i="4"/>
  <c r="J968" i="4"/>
  <c r="H968" i="4"/>
  <c r="E968" i="4"/>
  <c r="C968" i="4"/>
  <c r="A968" i="4"/>
  <c r="J967" i="4"/>
  <c r="H967" i="4"/>
  <c r="E967" i="4"/>
  <c r="C967" i="4"/>
  <c r="A967" i="4"/>
  <c r="J966" i="4"/>
  <c r="H966" i="4"/>
  <c r="E966" i="4"/>
  <c r="C966" i="4"/>
  <c r="A966" i="4"/>
  <c r="J965" i="4"/>
  <c r="H965" i="4"/>
  <c r="E965" i="4"/>
  <c r="C965" i="4"/>
  <c r="A965" i="4"/>
  <c r="J964" i="4"/>
  <c r="H964" i="4"/>
  <c r="E964" i="4"/>
  <c r="C964" i="4"/>
  <c r="A964" i="4"/>
  <c r="J963" i="4"/>
  <c r="H963" i="4"/>
  <c r="E963" i="4"/>
  <c r="C963" i="4"/>
  <c r="A963" i="4"/>
  <c r="J962" i="4"/>
  <c r="H962" i="4"/>
  <c r="E962" i="4"/>
  <c r="C962" i="4"/>
  <c r="A962" i="4"/>
  <c r="J961" i="4"/>
  <c r="H961" i="4"/>
  <c r="E961" i="4"/>
  <c r="C961" i="4"/>
  <c r="A961" i="4"/>
  <c r="J960" i="4"/>
  <c r="H960" i="4"/>
  <c r="E960" i="4"/>
  <c r="C960" i="4"/>
  <c r="A960" i="4"/>
  <c r="J959" i="4"/>
  <c r="H959" i="4"/>
  <c r="E959" i="4"/>
  <c r="C959" i="4"/>
  <c r="A959" i="4"/>
  <c r="J958" i="4"/>
  <c r="H958" i="4"/>
  <c r="E958" i="4"/>
  <c r="C958" i="4"/>
  <c r="A958" i="4"/>
  <c r="J957" i="4"/>
  <c r="H957" i="4"/>
  <c r="E957" i="4"/>
  <c r="C957" i="4"/>
  <c r="A957" i="4"/>
  <c r="J956" i="4"/>
  <c r="H956" i="4"/>
  <c r="E956" i="4"/>
  <c r="C956" i="4"/>
  <c r="A956" i="4"/>
  <c r="J955" i="4"/>
  <c r="H955" i="4"/>
  <c r="E955" i="4"/>
  <c r="C955" i="4"/>
  <c r="A955" i="4"/>
  <c r="J954" i="4"/>
  <c r="H954" i="4"/>
  <c r="E954" i="4"/>
  <c r="C954" i="4"/>
  <c r="A954" i="4"/>
  <c r="J953" i="4"/>
  <c r="H953" i="4"/>
  <c r="E953" i="4"/>
  <c r="C953" i="4"/>
  <c r="A953" i="4"/>
  <c r="J952" i="4"/>
  <c r="H952" i="4"/>
  <c r="E952" i="4"/>
  <c r="C952" i="4"/>
  <c r="A952" i="4"/>
  <c r="J951" i="4"/>
  <c r="H951" i="4"/>
  <c r="E951" i="4"/>
  <c r="C951" i="4"/>
  <c r="A951" i="4"/>
  <c r="J950" i="4"/>
  <c r="H950" i="4"/>
  <c r="E950" i="4"/>
  <c r="C950" i="4"/>
  <c r="A950" i="4"/>
  <c r="J949" i="4"/>
  <c r="H949" i="4"/>
  <c r="E949" i="4"/>
  <c r="C949" i="4"/>
  <c r="A949" i="4"/>
  <c r="J948" i="4"/>
  <c r="H948" i="4"/>
  <c r="E948" i="4"/>
  <c r="C948" i="4"/>
  <c r="A948" i="4"/>
  <c r="J947" i="4"/>
  <c r="H947" i="4"/>
  <c r="E947" i="4"/>
  <c r="C947" i="4"/>
  <c r="A947" i="4"/>
  <c r="J946" i="4"/>
  <c r="H946" i="4"/>
  <c r="E946" i="4"/>
  <c r="C946" i="4"/>
  <c r="A946" i="4"/>
  <c r="J945" i="4"/>
  <c r="H945" i="4"/>
  <c r="E945" i="4"/>
  <c r="C945" i="4"/>
  <c r="A945" i="4"/>
  <c r="J944" i="4"/>
  <c r="H944" i="4"/>
  <c r="E944" i="4"/>
  <c r="C944" i="4"/>
  <c r="A944" i="4"/>
  <c r="J943" i="4"/>
  <c r="H943" i="4"/>
  <c r="E943" i="4"/>
  <c r="C943" i="4"/>
  <c r="A943" i="4"/>
  <c r="J942" i="4"/>
  <c r="H942" i="4"/>
  <c r="E942" i="4"/>
  <c r="C942" i="4"/>
  <c r="A942" i="4"/>
  <c r="J941" i="4"/>
  <c r="H941" i="4"/>
  <c r="E941" i="4"/>
  <c r="C941" i="4"/>
  <c r="A941" i="4"/>
  <c r="J940" i="4"/>
  <c r="H940" i="4"/>
  <c r="E940" i="4"/>
  <c r="C940" i="4"/>
  <c r="A940" i="4"/>
  <c r="J939" i="4"/>
  <c r="H939" i="4"/>
  <c r="E939" i="4"/>
  <c r="C939" i="4"/>
  <c r="A939" i="4"/>
  <c r="J938" i="4"/>
  <c r="H938" i="4"/>
  <c r="E938" i="4"/>
  <c r="C938" i="4"/>
  <c r="A938" i="4"/>
  <c r="J937" i="4"/>
  <c r="H937" i="4"/>
  <c r="E937" i="4"/>
  <c r="C937" i="4"/>
  <c r="A937" i="4"/>
  <c r="J936" i="4"/>
  <c r="H936" i="4"/>
  <c r="E936" i="4"/>
  <c r="C936" i="4"/>
  <c r="A936" i="4"/>
  <c r="J935" i="4"/>
  <c r="H935" i="4"/>
  <c r="E935" i="4"/>
  <c r="C935" i="4"/>
  <c r="A935" i="4"/>
  <c r="J934" i="4"/>
  <c r="H934" i="4"/>
  <c r="E934" i="4"/>
  <c r="C934" i="4"/>
  <c r="A934" i="4"/>
  <c r="J933" i="4"/>
  <c r="H933" i="4"/>
  <c r="E933" i="4"/>
  <c r="C933" i="4"/>
  <c r="A933" i="4"/>
  <c r="J932" i="4"/>
  <c r="H932" i="4"/>
  <c r="E932" i="4"/>
  <c r="C932" i="4"/>
  <c r="A932" i="4"/>
  <c r="J931" i="4"/>
  <c r="H931" i="4"/>
  <c r="E931" i="4"/>
  <c r="C931" i="4"/>
  <c r="A931" i="4"/>
  <c r="J930" i="4"/>
  <c r="H930" i="4"/>
  <c r="E930" i="4"/>
  <c r="C930" i="4"/>
  <c r="A930" i="4"/>
  <c r="J929" i="4"/>
  <c r="H929" i="4"/>
  <c r="E929" i="4"/>
  <c r="C929" i="4"/>
  <c r="A929" i="4"/>
  <c r="J928" i="4"/>
  <c r="H928" i="4"/>
  <c r="E928" i="4"/>
  <c r="C928" i="4"/>
  <c r="A928" i="4"/>
  <c r="J927" i="4"/>
  <c r="H927" i="4"/>
  <c r="E927" i="4"/>
  <c r="C927" i="4"/>
  <c r="A927" i="4"/>
  <c r="J926" i="4"/>
  <c r="H926" i="4"/>
  <c r="E926" i="4"/>
  <c r="C926" i="4"/>
  <c r="A926" i="4"/>
  <c r="J925" i="4"/>
  <c r="H925" i="4"/>
  <c r="E925" i="4"/>
  <c r="C925" i="4"/>
  <c r="A925" i="4"/>
  <c r="J924" i="4"/>
  <c r="H924" i="4"/>
  <c r="E924" i="4"/>
  <c r="C924" i="4"/>
  <c r="A924" i="4"/>
  <c r="J923" i="4"/>
  <c r="H923" i="4"/>
  <c r="E923" i="4"/>
  <c r="C923" i="4"/>
  <c r="A923" i="4"/>
  <c r="J922" i="4"/>
  <c r="H922" i="4"/>
  <c r="E922" i="4"/>
  <c r="C922" i="4"/>
  <c r="A922" i="4"/>
  <c r="J921" i="4"/>
  <c r="H921" i="4"/>
  <c r="E921" i="4"/>
  <c r="C921" i="4"/>
  <c r="A921" i="4"/>
  <c r="J920" i="4"/>
  <c r="H920" i="4"/>
  <c r="E920" i="4"/>
  <c r="C920" i="4"/>
  <c r="A920" i="4"/>
  <c r="J919" i="4"/>
  <c r="H919" i="4"/>
  <c r="E919" i="4"/>
  <c r="C919" i="4"/>
  <c r="A919" i="4"/>
  <c r="J918" i="4"/>
  <c r="H918" i="4"/>
  <c r="E918" i="4"/>
  <c r="C918" i="4"/>
  <c r="A918" i="4"/>
  <c r="J917" i="4"/>
  <c r="H917" i="4"/>
  <c r="E917" i="4"/>
  <c r="C917" i="4"/>
  <c r="A917" i="4"/>
  <c r="J916" i="4"/>
  <c r="H916" i="4"/>
  <c r="E916" i="4"/>
  <c r="C916" i="4"/>
  <c r="A916" i="4"/>
  <c r="J915" i="4"/>
  <c r="H915" i="4"/>
  <c r="E915" i="4"/>
  <c r="C915" i="4"/>
  <c r="A915" i="4"/>
  <c r="J914" i="4"/>
  <c r="H914" i="4"/>
  <c r="E914" i="4"/>
  <c r="C914" i="4"/>
  <c r="A914" i="4"/>
  <c r="J913" i="4"/>
  <c r="H913" i="4"/>
  <c r="E913" i="4"/>
  <c r="C913" i="4"/>
  <c r="A913" i="4"/>
  <c r="J912" i="4"/>
  <c r="H912" i="4"/>
  <c r="E912" i="4"/>
  <c r="C912" i="4"/>
  <c r="A912" i="4"/>
  <c r="J911" i="4"/>
  <c r="H911" i="4"/>
  <c r="E911" i="4"/>
  <c r="C911" i="4"/>
  <c r="A911" i="4"/>
  <c r="J910" i="4"/>
  <c r="H910" i="4"/>
  <c r="E910" i="4"/>
  <c r="C910" i="4"/>
  <c r="A910" i="4"/>
  <c r="J909" i="4"/>
  <c r="H909" i="4"/>
  <c r="E909" i="4"/>
  <c r="C909" i="4"/>
  <c r="A909" i="4"/>
  <c r="J908" i="4"/>
  <c r="H908" i="4"/>
  <c r="E908" i="4"/>
  <c r="C908" i="4"/>
  <c r="A908" i="4"/>
  <c r="J907" i="4"/>
  <c r="H907" i="4"/>
  <c r="E907" i="4"/>
  <c r="C907" i="4"/>
  <c r="A907" i="4"/>
  <c r="J906" i="4"/>
  <c r="H906" i="4"/>
  <c r="E906" i="4"/>
  <c r="C906" i="4"/>
  <c r="A906" i="4"/>
  <c r="J905" i="4"/>
  <c r="H905" i="4"/>
  <c r="E905" i="4"/>
  <c r="C905" i="4"/>
  <c r="A905" i="4"/>
  <c r="J904" i="4"/>
  <c r="H904" i="4"/>
  <c r="E904" i="4"/>
  <c r="C904" i="4"/>
  <c r="A904" i="4"/>
  <c r="J903" i="4"/>
  <c r="H903" i="4"/>
  <c r="E903" i="4"/>
  <c r="C903" i="4"/>
  <c r="A903" i="4"/>
  <c r="J902" i="4"/>
  <c r="H902" i="4"/>
  <c r="E902" i="4"/>
  <c r="C902" i="4"/>
  <c r="A902" i="4"/>
  <c r="J901" i="4"/>
  <c r="H901" i="4"/>
  <c r="E901" i="4"/>
  <c r="C901" i="4"/>
  <c r="A901" i="4"/>
  <c r="J900" i="4"/>
  <c r="H900" i="4"/>
  <c r="E900" i="4"/>
  <c r="C900" i="4"/>
  <c r="A900" i="4"/>
  <c r="J899" i="4"/>
  <c r="H899" i="4"/>
  <c r="E899" i="4"/>
  <c r="C899" i="4"/>
  <c r="A899" i="4"/>
  <c r="J898" i="4"/>
  <c r="H898" i="4"/>
  <c r="E898" i="4"/>
  <c r="C898" i="4"/>
  <c r="A898" i="4"/>
  <c r="J897" i="4"/>
  <c r="H897" i="4"/>
  <c r="E897" i="4"/>
  <c r="C897" i="4"/>
  <c r="A897" i="4"/>
  <c r="J896" i="4"/>
  <c r="H896" i="4"/>
  <c r="E896" i="4"/>
  <c r="C896" i="4"/>
  <c r="A896" i="4"/>
  <c r="J895" i="4"/>
  <c r="H895" i="4"/>
  <c r="E895" i="4"/>
  <c r="C895" i="4"/>
  <c r="A895" i="4"/>
  <c r="J894" i="4"/>
  <c r="H894" i="4"/>
  <c r="E894" i="4"/>
  <c r="C894" i="4"/>
  <c r="A894" i="4"/>
  <c r="J893" i="4"/>
  <c r="H893" i="4"/>
  <c r="E893" i="4"/>
  <c r="C893" i="4"/>
  <c r="A893" i="4"/>
  <c r="J892" i="4"/>
  <c r="H892" i="4"/>
  <c r="E892" i="4"/>
  <c r="C892" i="4"/>
  <c r="A892" i="4"/>
  <c r="J891" i="4"/>
  <c r="H891" i="4"/>
  <c r="E891" i="4"/>
  <c r="C891" i="4"/>
  <c r="A891" i="4"/>
  <c r="J890" i="4"/>
  <c r="H890" i="4"/>
  <c r="E890" i="4"/>
  <c r="C890" i="4"/>
  <c r="A890" i="4"/>
  <c r="J889" i="4"/>
  <c r="H889" i="4"/>
  <c r="E889" i="4"/>
  <c r="C889" i="4"/>
  <c r="A889" i="4"/>
  <c r="J888" i="4"/>
  <c r="H888" i="4"/>
  <c r="E888" i="4"/>
  <c r="C888" i="4"/>
  <c r="A888" i="4"/>
  <c r="J887" i="4"/>
  <c r="H887" i="4"/>
  <c r="E887" i="4"/>
  <c r="C887" i="4"/>
  <c r="A887" i="4"/>
  <c r="J886" i="4"/>
  <c r="H886" i="4"/>
  <c r="E886" i="4"/>
  <c r="C886" i="4"/>
  <c r="A886" i="4"/>
  <c r="J885" i="4"/>
  <c r="H885" i="4"/>
  <c r="E885" i="4"/>
  <c r="C885" i="4"/>
  <c r="A885" i="4"/>
  <c r="J884" i="4"/>
  <c r="H884" i="4"/>
  <c r="E884" i="4"/>
  <c r="C884" i="4"/>
  <c r="A884" i="4"/>
  <c r="J883" i="4"/>
  <c r="H883" i="4"/>
  <c r="E883" i="4"/>
  <c r="C883" i="4"/>
  <c r="A883" i="4"/>
  <c r="J882" i="4"/>
  <c r="H882" i="4"/>
  <c r="E882" i="4"/>
  <c r="C882" i="4"/>
  <c r="A882" i="4"/>
  <c r="J881" i="4"/>
  <c r="H881" i="4"/>
  <c r="E881" i="4"/>
  <c r="C881" i="4"/>
  <c r="A881" i="4"/>
  <c r="J880" i="4"/>
  <c r="H880" i="4"/>
  <c r="E880" i="4"/>
  <c r="C880" i="4"/>
  <c r="A880" i="4"/>
  <c r="J879" i="4"/>
  <c r="H879" i="4"/>
  <c r="E879" i="4"/>
  <c r="C879" i="4"/>
  <c r="A879" i="4"/>
  <c r="J878" i="4"/>
  <c r="H878" i="4"/>
  <c r="E878" i="4"/>
  <c r="C878" i="4"/>
  <c r="A878" i="4"/>
  <c r="J877" i="4"/>
  <c r="H877" i="4"/>
  <c r="E877" i="4"/>
  <c r="C877" i="4"/>
  <c r="A877" i="4"/>
  <c r="J876" i="4"/>
  <c r="H876" i="4"/>
  <c r="E876" i="4"/>
  <c r="C876" i="4"/>
  <c r="A876" i="4"/>
  <c r="J875" i="4"/>
  <c r="H875" i="4"/>
  <c r="E875" i="4"/>
  <c r="C875" i="4"/>
  <c r="A875" i="4"/>
  <c r="J874" i="4"/>
  <c r="H874" i="4"/>
  <c r="E874" i="4"/>
  <c r="C874" i="4"/>
  <c r="A874" i="4"/>
  <c r="J873" i="4"/>
  <c r="H873" i="4"/>
  <c r="E873" i="4"/>
  <c r="C873" i="4"/>
  <c r="A873" i="4"/>
  <c r="J872" i="4"/>
  <c r="H872" i="4"/>
  <c r="E872" i="4"/>
  <c r="C872" i="4"/>
  <c r="A872" i="4"/>
  <c r="J871" i="4"/>
  <c r="H871" i="4"/>
  <c r="E871" i="4"/>
  <c r="C871" i="4"/>
  <c r="A871" i="4"/>
  <c r="J870" i="4"/>
  <c r="H870" i="4"/>
  <c r="E870" i="4"/>
  <c r="C870" i="4"/>
  <c r="A870" i="4"/>
  <c r="J869" i="4"/>
  <c r="H869" i="4"/>
  <c r="E869" i="4"/>
  <c r="C869" i="4"/>
  <c r="A869" i="4"/>
  <c r="J868" i="4"/>
  <c r="H868" i="4"/>
  <c r="E868" i="4"/>
  <c r="C868" i="4"/>
  <c r="A868" i="4"/>
  <c r="J867" i="4"/>
  <c r="H867" i="4"/>
  <c r="E867" i="4"/>
  <c r="C867" i="4"/>
  <c r="A867" i="4"/>
  <c r="J866" i="4"/>
  <c r="H866" i="4"/>
  <c r="E866" i="4"/>
  <c r="C866" i="4"/>
  <c r="A866" i="4"/>
  <c r="J865" i="4"/>
  <c r="H865" i="4"/>
  <c r="E865" i="4"/>
  <c r="C865" i="4"/>
  <c r="A865" i="4"/>
  <c r="J864" i="4"/>
  <c r="H864" i="4"/>
  <c r="E864" i="4"/>
  <c r="C864" i="4"/>
  <c r="A864" i="4"/>
  <c r="J863" i="4"/>
  <c r="H863" i="4"/>
  <c r="E863" i="4"/>
  <c r="C863" i="4"/>
  <c r="A863" i="4"/>
  <c r="J862" i="4"/>
  <c r="H862" i="4"/>
  <c r="E862" i="4"/>
  <c r="C862" i="4"/>
  <c r="A862" i="4"/>
  <c r="J861" i="4"/>
  <c r="H861" i="4"/>
  <c r="E861" i="4"/>
  <c r="C861" i="4"/>
  <c r="A861" i="4"/>
  <c r="J860" i="4"/>
  <c r="H860" i="4"/>
  <c r="E860" i="4"/>
  <c r="C860" i="4"/>
  <c r="A860" i="4"/>
  <c r="J859" i="4"/>
  <c r="H859" i="4"/>
  <c r="E859" i="4"/>
  <c r="C859" i="4"/>
  <c r="A859" i="4"/>
  <c r="J858" i="4"/>
  <c r="H858" i="4"/>
  <c r="E858" i="4"/>
  <c r="C858" i="4"/>
  <c r="A858" i="4"/>
  <c r="J857" i="4"/>
  <c r="H857" i="4"/>
  <c r="E857" i="4"/>
  <c r="C857" i="4"/>
  <c r="A857" i="4"/>
  <c r="J856" i="4"/>
  <c r="H856" i="4"/>
  <c r="E856" i="4"/>
  <c r="C856" i="4"/>
  <c r="A856" i="4"/>
  <c r="J855" i="4"/>
  <c r="H855" i="4"/>
  <c r="E855" i="4"/>
  <c r="C855" i="4"/>
  <c r="A855" i="4"/>
  <c r="J854" i="4"/>
  <c r="H854" i="4"/>
  <c r="E854" i="4"/>
  <c r="C854" i="4"/>
  <c r="A854" i="4"/>
  <c r="J853" i="4"/>
  <c r="H853" i="4"/>
  <c r="E853" i="4"/>
  <c r="C853" i="4"/>
  <c r="A853" i="4"/>
  <c r="J852" i="4"/>
  <c r="H852" i="4"/>
  <c r="E852" i="4"/>
  <c r="C852" i="4"/>
  <c r="A852" i="4"/>
  <c r="J851" i="4"/>
  <c r="H851" i="4"/>
  <c r="E851" i="4"/>
  <c r="C851" i="4"/>
  <c r="A851" i="4"/>
  <c r="J850" i="4"/>
  <c r="H850" i="4"/>
  <c r="E850" i="4"/>
  <c r="C850" i="4"/>
  <c r="A850" i="4"/>
  <c r="J849" i="4"/>
  <c r="H849" i="4"/>
  <c r="E849" i="4"/>
  <c r="C849" i="4"/>
  <c r="A849" i="4"/>
  <c r="J848" i="4"/>
  <c r="H848" i="4"/>
  <c r="E848" i="4"/>
  <c r="C848" i="4"/>
  <c r="A848" i="4"/>
  <c r="J847" i="4"/>
  <c r="H847" i="4"/>
  <c r="E847" i="4"/>
  <c r="C847" i="4"/>
  <c r="A847" i="4"/>
  <c r="J846" i="4"/>
  <c r="H846" i="4"/>
  <c r="E846" i="4"/>
  <c r="C846" i="4"/>
  <c r="A846" i="4"/>
  <c r="J845" i="4"/>
  <c r="H845" i="4"/>
  <c r="E845" i="4"/>
  <c r="C845" i="4"/>
  <c r="A845" i="4"/>
  <c r="J844" i="4"/>
  <c r="H844" i="4"/>
  <c r="E844" i="4"/>
  <c r="C844" i="4"/>
  <c r="A844" i="4"/>
  <c r="J843" i="4"/>
  <c r="H843" i="4"/>
  <c r="E843" i="4"/>
  <c r="C843" i="4"/>
  <c r="A843" i="4"/>
  <c r="J842" i="4"/>
  <c r="H842" i="4"/>
  <c r="E842" i="4"/>
  <c r="C842" i="4"/>
  <c r="A842" i="4"/>
  <c r="J841" i="4"/>
  <c r="H841" i="4"/>
  <c r="E841" i="4"/>
  <c r="C841" i="4"/>
  <c r="A841" i="4"/>
  <c r="J840" i="4"/>
  <c r="H840" i="4"/>
  <c r="E840" i="4"/>
  <c r="C840" i="4"/>
  <c r="A840" i="4"/>
  <c r="J839" i="4"/>
  <c r="H839" i="4"/>
  <c r="E839" i="4"/>
  <c r="C839" i="4"/>
  <c r="A839" i="4"/>
  <c r="J838" i="4"/>
  <c r="H838" i="4"/>
  <c r="E838" i="4"/>
  <c r="C838" i="4"/>
  <c r="A838" i="4"/>
  <c r="J837" i="4"/>
  <c r="H837" i="4"/>
  <c r="E837" i="4"/>
  <c r="C837" i="4"/>
  <c r="A837" i="4"/>
  <c r="J836" i="4"/>
  <c r="H836" i="4"/>
  <c r="E836" i="4"/>
  <c r="C836" i="4"/>
  <c r="A836" i="4"/>
  <c r="J835" i="4"/>
  <c r="H835" i="4"/>
  <c r="E835" i="4"/>
  <c r="C835" i="4"/>
  <c r="A835" i="4"/>
  <c r="J834" i="4"/>
  <c r="H834" i="4"/>
  <c r="E834" i="4"/>
  <c r="C834" i="4"/>
  <c r="A834" i="4"/>
  <c r="J833" i="4"/>
  <c r="H833" i="4"/>
  <c r="E833" i="4"/>
  <c r="C833" i="4"/>
  <c r="A833" i="4"/>
  <c r="J832" i="4"/>
  <c r="H832" i="4"/>
  <c r="E832" i="4"/>
  <c r="C832" i="4"/>
  <c r="A832" i="4"/>
  <c r="J831" i="4"/>
  <c r="H831" i="4"/>
  <c r="E831" i="4"/>
  <c r="C831" i="4"/>
  <c r="A831" i="4"/>
  <c r="J830" i="4"/>
  <c r="H830" i="4"/>
  <c r="E830" i="4"/>
  <c r="C830" i="4"/>
  <c r="A830" i="4"/>
  <c r="J829" i="4"/>
  <c r="H829" i="4"/>
  <c r="E829" i="4"/>
  <c r="C829" i="4"/>
  <c r="A829" i="4"/>
  <c r="J828" i="4"/>
  <c r="H828" i="4"/>
  <c r="E828" i="4"/>
  <c r="C828" i="4"/>
  <c r="A828" i="4"/>
  <c r="J827" i="4"/>
  <c r="H827" i="4"/>
  <c r="E827" i="4"/>
  <c r="C827" i="4"/>
  <c r="A827" i="4"/>
  <c r="J826" i="4"/>
  <c r="H826" i="4"/>
  <c r="E826" i="4"/>
  <c r="C826" i="4"/>
  <c r="A826" i="4"/>
  <c r="J825" i="4"/>
  <c r="H825" i="4"/>
  <c r="E825" i="4"/>
  <c r="C825" i="4"/>
  <c r="A825" i="4"/>
  <c r="J824" i="4"/>
  <c r="H824" i="4"/>
  <c r="E824" i="4"/>
  <c r="C824" i="4"/>
  <c r="A824" i="4"/>
  <c r="J823" i="4"/>
  <c r="H823" i="4"/>
  <c r="E823" i="4"/>
  <c r="C823" i="4"/>
  <c r="A823" i="4"/>
  <c r="J822" i="4"/>
  <c r="H822" i="4"/>
  <c r="E822" i="4"/>
  <c r="C822" i="4"/>
  <c r="A822" i="4"/>
  <c r="J821" i="4"/>
  <c r="H821" i="4"/>
  <c r="E821" i="4"/>
  <c r="C821" i="4"/>
  <c r="A821" i="4"/>
  <c r="J820" i="4"/>
  <c r="H820" i="4"/>
  <c r="E820" i="4"/>
  <c r="C820" i="4"/>
  <c r="A820" i="4"/>
  <c r="J819" i="4"/>
  <c r="H819" i="4"/>
  <c r="E819" i="4"/>
  <c r="C819" i="4"/>
  <c r="A819" i="4"/>
  <c r="J818" i="4"/>
  <c r="H818" i="4"/>
  <c r="E818" i="4"/>
  <c r="C818" i="4"/>
  <c r="A818" i="4"/>
  <c r="J817" i="4"/>
  <c r="H817" i="4"/>
  <c r="E817" i="4"/>
  <c r="C817" i="4"/>
  <c r="A817" i="4"/>
  <c r="J816" i="4"/>
  <c r="H816" i="4"/>
  <c r="E816" i="4"/>
  <c r="C816" i="4"/>
  <c r="A816" i="4"/>
  <c r="J815" i="4"/>
  <c r="H815" i="4"/>
  <c r="E815" i="4"/>
  <c r="C815" i="4"/>
  <c r="A815" i="4"/>
  <c r="J814" i="4"/>
  <c r="H814" i="4"/>
  <c r="E814" i="4"/>
  <c r="C814" i="4"/>
  <c r="A814" i="4"/>
  <c r="J813" i="4"/>
  <c r="H813" i="4"/>
  <c r="E813" i="4"/>
  <c r="C813" i="4"/>
  <c r="A813" i="4"/>
  <c r="J812" i="4"/>
  <c r="H812" i="4"/>
  <c r="E812" i="4"/>
  <c r="C812" i="4"/>
  <c r="A812" i="4"/>
  <c r="J811" i="4"/>
  <c r="H811" i="4"/>
  <c r="E811" i="4"/>
  <c r="C811" i="4"/>
  <c r="A811" i="4"/>
  <c r="J810" i="4"/>
  <c r="H810" i="4"/>
  <c r="E810" i="4"/>
  <c r="C810" i="4"/>
  <c r="A810" i="4"/>
  <c r="J809" i="4"/>
  <c r="H809" i="4"/>
  <c r="E809" i="4"/>
  <c r="C809" i="4"/>
  <c r="A809" i="4"/>
  <c r="J808" i="4"/>
  <c r="H808" i="4"/>
  <c r="E808" i="4"/>
  <c r="C808" i="4"/>
  <c r="A808" i="4"/>
  <c r="J807" i="4"/>
  <c r="H807" i="4"/>
  <c r="E807" i="4"/>
  <c r="C807" i="4"/>
  <c r="A807" i="4"/>
  <c r="J806" i="4"/>
  <c r="H806" i="4"/>
  <c r="E806" i="4"/>
  <c r="C806" i="4"/>
  <c r="A806" i="4"/>
  <c r="J805" i="4"/>
  <c r="H805" i="4"/>
  <c r="E805" i="4"/>
  <c r="C805" i="4"/>
  <c r="A805" i="4"/>
  <c r="J804" i="4"/>
  <c r="H804" i="4"/>
  <c r="E804" i="4"/>
  <c r="C804" i="4"/>
  <c r="A804" i="4"/>
  <c r="J803" i="4"/>
  <c r="H803" i="4"/>
  <c r="E803" i="4"/>
  <c r="C803" i="4"/>
  <c r="A803" i="4"/>
  <c r="J802" i="4"/>
  <c r="H802" i="4"/>
  <c r="E802" i="4"/>
  <c r="C802" i="4"/>
  <c r="A802" i="4"/>
  <c r="J801" i="4"/>
  <c r="H801" i="4"/>
  <c r="E801" i="4"/>
  <c r="C801" i="4"/>
  <c r="A801" i="4"/>
  <c r="J800" i="4"/>
  <c r="H800" i="4"/>
  <c r="E800" i="4"/>
  <c r="C800" i="4"/>
  <c r="A800" i="4"/>
  <c r="J799" i="4"/>
  <c r="H799" i="4"/>
  <c r="E799" i="4"/>
  <c r="C799" i="4"/>
  <c r="A799" i="4"/>
  <c r="J798" i="4"/>
  <c r="H798" i="4"/>
  <c r="E798" i="4"/>
  <c r="C798" i="4"/>
  <c r="A798" i="4"/>
  <c r="J797" i="4"/>
  <c r="H797" i="4"/>
  <c r="E797" i="4"/>
  <c r="C797" i="4"/>
  <c r="A797" i="4"/>
  <c r="J796" i="4"/>
  <c r="H796" i="4"/>
  <c r="E796" i="4"/>
  <c r="C796" i="4"/>
  <c r="A796" i="4"/>
  <c r="J795" i="4"/>
  <c r="H795" i="4"/>
  <c r="E795" i="4"/>
  <c r="C795" i="4"/>
  <c r="A795" i="4"/>
  <c r="J794" i="4"/>
  <c r="H794" i="4"/>
  <c r="E794" i="4"/>
  <c r="C794" i="4"/>
  <c r="A794" i="4"/>
  <c r="J793" i="4"/>
  <c r="H793" i="4"/>
  <c r="E793" i="4"/>
  <c r="C793" i="4"/>
  <c r="A793" i="4"/>
  <c r="J792" i="4"/>
  <c r="H792" i="4"/>
  <c r="E792" i="4"/>
  <c r="C792" i="4"/>
  <c r="A792" i="4"/>
  <c r="J791" i="4"/>
  <c r="H791" i="4"/>
  <c r="E791" i="4"/>
  <c r="C791" i="4"/>
  <c r="A791" i="4"/>
  <c r="J790" i="4"/>
  <c r="H790" i="4"/>
  <c r="E790" i="4"/>
  <c r="C790" i="4"/>
  <c r="A790" i="4"/>
  <c r="J789" i="4"/>
  <c r="H789" i="4"/>
  <c r="E789" i="4"/>
  <c r="C789" i="4"/>
  <c r="A789" i="4"/>
  <c r="J788" i="4"/>
  <c r="H788" i="4"/>
  <c r="E788" i="4"/>
  <c r="C788" i="4"/>
  <c r="A788" i="4"/>
  <c r="J787" i="4"/>
  <c r="H787" i="4"/>
  <c r="E787" i="4"/>
  <c r="C787" i="4"/>
  <c r="A787" i="4"/>
  <c r="J786" i="4"/>
  <c r="H786" i="4"/>
  <c r="E786" i="4"/>
  <c r="C786" i="4"/>
  <c r="A786" i="4"/>
  <c r="J785" i="4"/>
  <c r="H785" i="4"/>
  <c r="E785" i="4"/>
  <c r="C785" i="4"/>
  <c r="A785" i="4"/>
  <c r="J784" i="4"/>
  <c r="H784" i="4"/>
  <c r="E784" i="4"/>
  <c r="C784" i="4"/>
  <c r="A784" i="4"/>
  <c r="J783" i="4"/>
  <c r="H783" i="4"/>
  <c r="E783" i="4"/>
  <c r="C783" i="4"/>
  <c r="A783" i="4"/>
  <c r="J782" i="4"/>
  <c r="H782" i="4"/>
  <c r="E782" i="4"/>
  <c r="C782" i="4"/>
  <c r="A782" i="4"/>
  <c r="J781" i="4"/>
  <c r="H781" i="4"/>
  <c r="E781" i="4"/>
  <c r="C781" i="4"/>
  <c r="A781" i="4"/>
  <c r="J780" i="4"/>
  <c r="H780" i="4"/>
  <c r="E780" i="4"/>
  <c r="C780" i="4"/>
  <c r="A780" i="4"/>
  <c r="J779" i="4"/>
  <c r="H779" i="4"/>
  <c r="E779" i="4"/>
  <c r="C779" i="4"/>
  <c r="A779" i="4"/>
  <c r="J778" i="4"/>
  <c r="H778" i="4"/>
  <c r="E778" i="4"/>
  <c r="C778" i="4"/>
  <c r="A778" i="4"/>
  <c r="J777" i="4"/>
  <c r="H777" i="4"/>
  <c r="E777" i="4"/>
  <c r="C777" i="4"/>
  <c r="A777" i="4"/>
  <c r="J776" i="4"/>
  <c r="H776" i="4"/>
  <c r="E776" i="4"/>
  <c r="C776" i="4"/>
  <c r="A776" i="4"/>
  <c r="J775" i="4"/>
  <c r="H775" i="4"/>
  <c r="E775" i="4"/>
  <c r="C775" i="4"/>
  <c r="A775" i="4"/>
  <c r="J774" i="4"/>
  <c r="H774" i="4"/>
  <c r="E774" i="4"/>
  <c r="C774" i="4"/>
  <c r="A774" i="4"/>
  <c r="J773" i="4"/>
  <c r="H773" i="4"/>
  <c r="E773" i="4"/>
  <c r="C773" i="4"/>
  <c r="A773" i="4"/>
  <c r="J772" i="4"/>
  <c r="H772" i="4"/>
  <c r="E772" i="4"/>
  <c r="C772" i="4"/>
  <c r="A772" i="4"/>
  <c r="J771" i="4"/>
  <c r="H771" i="4"/>
  <c r="E771" i="4"/>
  <c r="C771" i="4"/>
  <c r="A771" i="4"/>
  <c r="J770" i="4"/>
  <c r="H770" i="4"/>
  <c r="E770" i="4"/>
  <c r="C770" i="4"/>
  <c r="A770" i="4"/>
  <c r="J769" i="4"/>
  <c r="H769" i="4"/>
  <c r="E769" i="4"/>
  <c r="C769" i="4"/>
  <c r="A769" i="4"/>
  <c r="J768" i="4"/>
  <c r="H768" i="4"/>
  <c r="E768" i="4"/>
  <c r="C768" i="4"/>
  <c r="A768" i="4"/>
  <c r="J767" i="4"/>
  <c r="H767" i="4"/>
  <c r="E767" i="4"/>
  <c r="C767" i="4"/>
  <c r="A767" i="4"/>
  <c r="J766" i="4"/>
  <c r="H766" i="4"/>
  <c r="E766" i="4"/>
  <c r="C766" i="4"/>
  <c r="A766" i="4"/>
  <c r="J765" i="4"/>
  <c r="H765" i="4"/>
  <c r="E765" i="4"/>
  <c r="C765" i="4"/>
  <c r="A765" i="4"/>
  <c r="J764" i="4"/>
  <c r="H764" i="4"/>
  <c r="E764" i="4"/>
  <c r="C764" i="4"/>
  <c r="A764" i="4"/>
  <c r="J763" i="4"/>
  <c r="H763" i="4"/>
  <c r="E763" i="4"/>
  <c r="C763" i="4"/>
  <c r="A763" i="4"/>
  <c r="J762" i="4"/>
  <c r="H762" i="4"/>
  <c r="E762" i="4"/>
  <c r="C762" i="4"/>
  <c r="A762" i="4"/>
  <c r="J761" i="4"/>
  <c r="H761" i="4"/>
  <c r="E761" i="4"/>
  <c r="C761" i="4"/>
  <c r="A761" i="4"/>
  <c r="J760" i="4"/>
  <c r="H760" i="4"/>
  <c r="E760" i="4"/>
  <c r="C760" i="4"/>
  <c r="A760" i="4"/>
  <c r="J759" i="4"/>
  <c r="H759" i="4"/>
  <c r="E759" i="4"/>
  <c r="C759" i="4"/>
  <c r="A759" i="4"/>
  <c r="J758" i="4"/>
  <c r="H758" i="4"/>
  <c r="E758" i="4"/>
  <c r="C758" i="4"/>
  <c r="A758" i="4"/>
  <c r="J757" i="4"/>
  <c r="H757" i="4"/>
  <c r="E757" i="4"/>
  <c r="C757" i="4"/>
  <c r="A757" i="4"/>
  <c r="J756" i="4"/>
  <c r="H756" i="4"/>
  <c r="E756" i="4"/>
  <c r="C756" i="4"/>
  <c r="A756" i="4"/>
  <c r="J755" i="4"/>
  <c r="H755" i="4"/>
  <c r="E755" i="4"/>
  <c r="C755" i="4"/>
  <c r="A755" i="4"/>
  <c r="J754" i="4"/>
  <c r="H754" i="4"/>
  <c r="E754" i="4"/>
  <c r="C754" i="4"/>
  <c r="A754" i="4"/>
  <c r="J753" i="4"/>
  <c r="H753" i="4"/>
  <c r="E753" i="4"/>
  <c r="C753" i="4"/>
  <c r="A753" i="4"/>
  <c r="J752" i="4"/>
  <c r="H752" i="4"/>
  <c r="E752" i="4"/>
  <c r="C752" i="4"/>
  <c r="A752" i="4"/>
  <c r="J751" i="4"/>
  <c r="H751" i="4"/>
  <c r="E751" i="4"/>
  <c r="C751" i="4"/>
  <c r="A751" i="4"/>
  <c r="J750" i="4"/>
  <c r="H750" i="4"/>
  <c r="E750" i="4"/>
  <c r="C750" i="4"/>
  <c r="A750" i="4"/>
  <c r="J749" i="4"/>
  <c r="H749" i="4"/>
  <c r="E749" i="4"/>
  <c r="C749" i="4"/>
  <c r="A749" i="4"/>
  <c r="J748" i="4"/>
  <c r="H748" i="4"/>
  <c r="E748" i="4"/>
  <c r="C748" i="4"/>
  <c r="A748" i="4"/>
  <c r="J747" i="4"/>
  <c r="H747" i="4"/>
  <c r="E747" i="4"/>
  <c r="C747" i="4"/>
  <c r="A747" i="4"/>
  <c r="J746" i="4"/>
  <c r="H746" i="4"/>
  <c r="E746" i="4"/>
  <c r="C746" i="4"/>
  <c r="A746" i="4"/>
  <c r="J745" i="4"/>
  <c r="H745" i="4"/>
  <c r="E745" i="4"/>
  <c r="C745" i="4"/>
  <c r="A745" i="4"/>
  <c r="J744" i="4"/>
  <c r="H744" i="4"/>
  <c r="E744" i="4"/>
  <c r="C744" i="4"/>
  <c r="A744" i="4"/>
  <c r="J743" i="4"/>
  <c r="H743" i="4"/>
  <c r="E743" i="4"/>
  <c r="C743" i="4"/>
  <c r="A743" i="4"/>
  <c r="J742" i="4"/>
  <c r="H742" i="4"/>
  <c r="E742" i="4"/>
  <c r="C742" i="4"/>
  <c r="A742" i="4"/>
  <c r="J741" i="4"/>
  <c r="H741" i="4"/>
  <c r="E741" i="4"/>
  <c r="C741" i="4"/>
  <c r="A741" i="4"/>
  <c r="J740" i="4"/>
  <c r="H740" i="4"/>
  <c r="E740" i="4"/>
  <c r="C740" i="4"/>
  <c r="A740" i="4"/>
  <c r="J739" i="4"/>
  <c r="H739" i="4"/>
  <c r="E739" i="4"/>
  <c r="C739" i="4"/>
  <c r="A739" i="4"/>
  <c r="J738" i="4"/>
  <c r="H738" i="4"/>
  <c r="E738" i="4"/>
  <c r="C738" i="4"/>
  <c r="A738" i="4"/>
  <c r="J737" i="4"/>
  <c r="H737" i="4"/>
  <c r="E737" i="4"/>
  <c r="C737" i="4"/>
  <c r="A737" i="4"/>
  <c r="J736" i="4"/>
  <c r="H736" i="4"/>
  <c r="E736" i="4"/>
  <c r="C736" i="4"/>
  <c r="A736" i="4"/>
  <c r="J735" i="4"/>
  <c r="H735" i="4"/>
  <c r="E735" i="4"/>
  <c r="C735" i="4"/>
  <c r="A735" i="4"/>
  <c r="J734" i="4"/>
  <c r="H734" i="4"/>
  <c r="E734" i="4"/>
  <c r="C734" i="4"/>
  <c r="A734" i="4"/>
  <c r="J733" i="4"/>
  <c r="H733" i="4"/>
  <c r="E733" i="4"/>
  <c r="C733" i="4"/>
  <c r="A733" i="4"/>
  <c r="J732" i="4"/>
  <c r="H732" i="4"/>
  <c r="E732" i="4"/>
  <c r="C732" i="4"/>
  <c r="A732" i="4"/>
  <c r="J731" i="4"/>
  <c r="H731" i="4"/>
  <c r="E731" i="4"/>
  <c r="C731" i="4"/>
  <c r="A731" i="4"/>
  <c r="J730" i="4"/>
  <c r="H730" i="4"/>
  <c r="E730" i="4"/>
  <c r="C730" i="4"/>
  <c r="A730" i="4"/>
  <c r="J729" i="4"/>
  <c r="H729" i="4"/>
  <c r="E729" i="4"/>
  <c r="C729" i="4"/>
  <c r="A729" i="4"/>
  <c r="J728" i="4"/>
  <c r="H728" i="4"/>
  <c r="E728" i="4"/>
  <c r="C728" i="4"/>
  <c r="A728" i="4"/>
  <c r="J727" i="4"/>
  <c r="H727" i="4"/>
  <c r="E727" i="4"/>
  <c r="C727" i="4"/>
  <c r="A727" i="4"/>
  <c r="J726" i="4"/>
  <c r="H726" i="4"/>
  <c r="E726" i="4"/>
  <c r="C726" i="4"/>
  <c r="A726" i="4"/>
  <c r="J725" i="4"/>
  <c r="H725" i="4"/>
  <c r="E725" i="4"/>
  <c r="C725" i="4"/>
  <c r="A725" i="4"/>
  <c r="J724" i="4"/>
  <c r="H724" i="4"/>
  <c r="E724" i="4"/>
  <c r="C724" i="4"/>
  <c r="A724" i="4"/>
  <c r="J723" i="4"/>
  <c r="H723" i="4"/>
  <c r="E723" i="4"/>
  <c r="C723" i="4"/>
  <c r="A723" i="4"/>
  <c r="J722" i="4"/>
  <c r="H722" i="4"/>
  <c r="E722" i="4"/>
  <c r="C722" i="4"/>
  <c r="A722" i="4"/>
  <c r="J721" i="4"/>
  <c r="H721" i="4"/>
  <c r="E721" i="4"/>
  <c r="C721" i="4"/>
  <c r="A721" i="4"/>
  <c r="J720" i="4"/>
  <c r="H720" i="4"/>
  <c r="E720" i="4"/>
  <c r="C720" i="4"/>
  <c r="A720" i="4"/>
  <c r="J719" i="4"/>
  <c r="H719" i="4"/>
  <c r="E719" i="4"/>
  <c r="C719" i="4"/>
  <c r="A719" i="4"/>
  <c r="J718" i="4"/>
  <c r="H718" i="4"/>
  <c r="E718" i="4"/>
  <c r="C718" i="4"/>
  <c r="A718" i="4"/>
  <c r="J717" i="4"/>
  <c r="H717" i="4"/>
  <c r="E717" i="4"/>
  <c r="C717" i="4"/>
  <c r="A717" i="4"/>
  <c r="J716" i="4"/>
  <c r="H716" i="4"/>
  <c r="E716" i="4"/>
  <c r="C716" i="4"/>
  <c r="A716" i="4"/>
  <c r="J715" i="4"/>
  <c r="H715" i="4"/>
  <c r="E715" i="4"/>
  <c r="C715" i="4"/>
  <c r="A715" i="4"/>
  <c r="J714" i="4"/>
  <c r="H714" i="4"/>
  <c r="E714" i="4"/>
  <c r="C714" i="4"/>
  <c r="A714" i="4"/>
  <c r="J713" i="4"/>
  <c r="H713" i="4"/>
  <c r="E713" i="4"/>
  <c r="C713" i="4"/>
  <c r="A713" i="4"/>
  <c r="J712" i="4"/>
  <c r="H712" i="4"/>
  <c r="E712" i="4"/>
  <c r="C712" i="4"/>
  <c r="A712" i="4"/>
  <c r="J711" i="4"/>
  <c r="H711" i="4"/>
  <c r="E711" i="4"/>
  <c r="C711" i="4"/>
  <c r="A711" i="4"/>
  <c r="J710" i="4"/>
  <c r="H710" i="4"/>
  <c r="E710" i="4"/>
  <c r="C710" i="4"/>
  <c r="A710" i="4"/>
  <c r="J709" i="4"/>
  <c r="H709" i="4"/>
  <c r="E709" i="4"/>
  <c r="C709" i="4"/>
  <c r="A709" i="4"/>
  <c r="J708" i="4"/>
  <c r="H708" i="4"/>
  <c r="E708" i="4"/>
  <c r="C708" i="4"/>
  <c r="A708" i="4"/>
  <c r="J707" i="4"/>
  <c r="H707" i="4"/>
  <c r="E707" i="4"/>
  <c r="C707" i="4"/>
  <c r="A707" i="4"/>
  <c r="J706" i="4"/>
  <c r="H706" i="4"/>
  <c r="E706" i="4"/>
  <c r="C706" i="4"/>
  <c r="A706" i="4"/>
  <c r="J705" i="4"/>
  <c r="H705" i="4"/>
  <c r="E705" i="4"/>
  <c r="C705" i="4"/>
  <c r="A705" i="4"/>
  <c r="J704" i="4"/>
  <c r="H704" i="4"/>
  <c r="E704" i="4"/>
  <c r="C704" i="4"/>
  <c r="A704" i="4"/>
  <c r="J703" i="4"/>
  <c r="H703" i="4"/>
  <c r="E703" i="4"/>
  <c r="C703" i="4"/>
  <c r="A703" i="4"/>
  <c r="J702" i="4"/>
  <c r="H702" i="4"/>
  <c r="E702" i="4"/>
  <c r="C702" i="4"/>
  <c r="A702" i="4"/>
  <c r="J701" i="4"/>
  <c r="H701" i="4"/>
  <c r="E701" i="4"/>
  <c r="C701" i="4"/>
  <c r="A701" i="4"/>
  <c r="J700" i="4"/>
  <c r="H700" i="4"/>
  <c r="E700" i="4"/>
  <c r="C700" i="4"/>
  <c r="A700" i="4"/>
  <c r="J699" i="4"/>
  <c r="H699" i="4"/>
  <c r="E699" i="4"/>
  <c r="C699" i="4"/>
  <c r="A699" i="4"/>
  <c r="J698" i="4"/>
  <c r="H698" i="4"/>
  <c r="E698" i="4"/>
  <c r="C698" i="4"/>
  <c r="A698" i="4"/>
  <c r="J697" i="4"/>
  <c r="H697" i="4"/>
  <c r="E697" i="4"/>
  <c r="C697" i="4"/>
  <c r="A697" i="4"/>
  <c r="J696" i="4"/>
  <c r="H696" i="4"/>
  <c r="E696" i="4"/>
  <c r="C696" i="4"/>
  <c r="A696" i="4"/>
  <c r="J695" i="4"/>
  <c r="H695" i="4"/>
  <c r="E695" i="4"/>
  <c r="C695" i="4"/>
  <c r="A695" i="4"/>
  <c r="J694" i="4"/>
  <c r="H694" i="4"/>
  <c r="E694" i="4"/>
  <c r="C694" i="4"/>
  <c r="A694" i="4"/>
  <c r="J693" i="4"/>
  <c r="H693" i="4"/>
  <c r="E693" i="4"/>
  <c r="C693" i="4"/>
  <c r="A693" i="4"/>
  <c r="J692" i="4"/>
  <c r="H692" i="4"/>
  <c r="E692" i="4"/>
  <c r="C692" i="4"/>
  <c r="A692" i="4"/>
  <c r="J691" i="4"/>
  <c r="H691" i="4"/>
  <c r="E691" i="4"/>
  <c r="C691" i="4"/>
  <c r="A691" i="4"/>
  <c r="J690" i="4"/>
  <c r="H690" i="4"/>
  <c r="E690" i="4"/>
  <c r="C690" i="4"/>
  <c r="A690" i="4"/>
  <c r="J689" i="4"/>
  <c r="H689" i="4"/>
  <c r="E689" i="4"/>
  <c r="C689" i="4"/>
  <c r="A689" i="4"/>
  <c r="J688" i="4"/>
  <c r="H688" i="4"/>
  <c r="E688" i="4"/>
  <c r="C688" i="4"/>
  <c r="A688" i="4"/>
  <c r="J687" i="4"/>
  <c r="H687" i="4"/>
  <c r="E687" i="4"/>
  <c r="C687" i="4"/>
  <c r="A687" i="4"/>
  <c r="J686" i="4"/>
  <c r="H686" i="4"/>
  <c r="E686" i="4"/>
  <c r="C686" i="4"/>
  <c r="A686" i="4"/>
  <c r="J685" i="4"/>
  <c r="H685" i="4"/>
  <c r="E685" i="4"/>
  <c r="C685" i="4"/>
  <c r="A685" i="4"/>
  <c r="J684" i="4"/>
  <c r="H684" i="4"/>
  <c r="E684" i="4"/>
  <c r="C684" i="4"/>
  <c r="A684" i="4"/>
  <c r="J683" i="4"/>
  <c r="H683" i="4"/>
  <c r="E683" i="4"/>
  <c r="C683" i="4"/>
  <c r="A683" i="4"/>
  <c r="J682" i="4"/>
  <c r="H682" i="4"/>
  <c r="E682" i="4"/>
  <c r="C682" i="4"/>
  <c r="A682" i="4"/>
  <c r="J681" i="4"/>
  <c r="H681" i="4"/>
  <c r="E681" i="4"/>
  <c r="C681" i="4"/>
  <c r="A681" i="4"/>
  <c r="J680" i="4"/>
  <c r="H680" i="4"/>
  <c r="E680" i="4"/>
  <c r="C680" i="4"/>
  <c r="A680" i="4"/>
  <c r="J679" i="4"/>
  <c r="H679" i="4"/>
  <c r="E679" i="4"/>
  <c r="C679" i="4"/>
  <c r="A679" i="4"/>
  <c r="J678" i="4"/>
  <c r="H678" i="4"/>
  <c r="E678" i="4"/>
  <c r="C678" i="4"/>
  <c r="A678" i="4"/>
  <c r="J677" i="4"/>
  <c r="H677" i="4"/>
  <c r="E677" i="4"/>
  <c r="C677" i="4"/>
  <c r="A677" i="4"/>
  <c r="J676" i="4"/>
  <c r="H676" i="4"/>
  <c r="E676" i="4"/>
  <c r="C676" i="4"/>
  <c r="A676" i="4"/>
  <c r="J675" i="4"/>
  <c r="H675" i="4"/>
  <c r="E675" i="4"/>
  <c r="C675" i="4"/>
  <c r="A675" i="4"/>
  <c r="J674" i="4"/>
  <c r="H674" i="4"/>
  <c r="E674" i="4"/>
  <c r="C674" i="4"/>
  <c r="A674" i="4"/>
  <c r="J673" i="4"/>
  <c r="H673" i="4"/>
  <c r="E673" i="4"/>
  <c r="C673" i="4"/>
  <c r="A673" i="4"/>
  <c r="J672" i="4"/>
  <c r="H672" i="4"/>
  <c r="E672" i="4"/>
  <c r="C672" i="4"/>
  <c r="A672" i="4"/>
  <c r="J671" i="4"/>
  <c r="H671" i="4"/>
  <c r="E671" i="4"/>
  <c r="C671" i="4"/>
  <c r="A671" i="4"/>
  <c r="J670" i="4"/>
  <c r="H670" i="4"/>
  <c r="E670" i="4"/>
  <c r="C670" i="4"/>
  <c r="A670" i="4"/>
  <c r="J669" i="4"/>
  <c r="H669" i="4"/>
  <c r="E669" i="4"/>
  <c r="C669" i="4"/>
  <c r="A669" i="4"/>
  <c r="J668" i="4"/>
  <c r="H668" i="4"/>
  <c r="E668" i="4"/>
  <c r="C668" i="4"/>
  <c r="A668" i="4"/>
  <c r="J667" i="4"/>
  <c r="H667" i="4"/>
  <c r="E667" i="4"/>
  <c r="C667" i="4"/>
  <c r="A667" i="4"/>
  <c r="J666" i="4"/>
  <c r="H666" i="4"/>
  <c r="E666" i="4"/>
  <c r="C666" i="4"/>
  <c r="A666" i="4"/>
  <c r="J665" i="4"/>
  <c r="H665" i="4"/>
  <c r="E665" i="4"/>
  <c r="C665" i="4"/>
  <c r="A665" i="4"/>
  <c r="J664" i="4"/>
  <c r="H664" i="4"/>
  <c r="E664" i="4"/>
  <c r="C664" i="4"/>
  <c r="A664" i="4"/>
  <c r="J663" i="4"/>
  <c r="H663" i="4"/>
  <c r="E663" i="4"/>
  <c r="C663" i="4"/>
  <c r="A663" i="4"/>
  <c r="J662" i="4"/>
  <c r="H662" i="4"/>
  <c r="E662" i="4"/>
  <c r="C662" i="4"/>
  <c r="A662" i="4"/>
  <c r="J661" i="4"/>
  <c r="H661" i="4"/>
  <c r="E661" i="4"/>
  <c r="C661" i="4"/>
  <c r="A661" i="4"/>
  <c r="J660" i="4"/>
  <c r="H660" i="4"/>
  <c r="E660" i="4"/>
  <c r="C660" i="4"/>
  <c r="A660" i="4"/>
  <c r="J659" i="4"/>
  <c r="H659" i="4"/>
  <c r="E659" i="4"/>
  <c r="C659" i="4"/>
  <c r="A659" i="4"/>
  <c r="J658" i="4"/>
  <c r="H658" i="4"/>
  <c r="E658" i="4"/>
  <c r="C658" i="4"/>
  <c r="A658" i="4"/>
  <c r="J657" i="4"/>
  <c r="H657" i="4"/>
  <c r="E657" i="4"/>
  <c r="C657" i="4"/>
  <c r="A657" i="4"/>
  <c r="J656" i="4"/>
  <c r="H656" i="4"/>
  <c r="E656" i="4"/>
  <c r="C656" i="4"/>
  <c r="A656" i="4"/>
  <c r="J655" i="4"/>
  <c r="H655" i="4"/>
  <c r="E655" i="4"/>
  <c r="C655" i="4"/>
  <c r="A655" i="4"/>
  <c r="J654" i="4"/>
  <c r="H654" i="4"/>
  <c r="E654" i="4"/>
  <c r="C654" i="4"/>
  <c r="A654" i="4"/>
  <c r="J653" i="4"/>
  <c r="H653" i="4"/>
  <c r="E653" i="4"/>
  <c r="C653" i="4"/>
  <c r="A653" i="4"/>
  <c r="J652" i="4"/>
  <c r="H652" i="4"/>
  <c r="E652" i="4"/>
  <c r="C652" i="4"/>
  <c r="A652" i="4"/>
  <c r="J651" i="4"/>
  <c r="H651" i="4"/>
  <c r="E651" i="4"/>
  <c r="C651" i="4"/>
  <c r="A651" i="4"/>
  <c r="J650" i="4"/>
  <c r="H650" i="4"/>
  <c r="E650" i="4"/>
  <c r="C650" i="4"/>
  <c r="A650" i="4"/>
  <c r="J649" i="4"/>
  <c r="H649" i="4"/>
  <c r="E649" i="4"/>
  <c r="C649" i="4"/>
  <c r="A649" i="4"/>
  <c r="J648" i="4"/>
  <c r="H648" i="4"/>
  <c r="E648" i="4"/>
  <c r="C648" i="4"/>
  <c r="A648" i="4"/>
  <c r="J647" i="4"/>
  <c r="H647" i="4"/>
  <c r="E647" i="4"/>
  <c r="C647" i="4"/>
  <c r="A647" i="4"/>
  <c r="J646" i="4"/>
  <c r="H646" i="4"/>
  <c r="E646" i="4"/>
  <c r="C646" i="4"/>
  <c r="A646" i="4"/>
  <c r="J645" i="4"/>
  <c r="H645" i="4"/>
  <c r="E645" i="4"/>
  <c r="C645" i="4"/>
  <c r="A645" i="4"/>
  <c r="J644" i="4"/>
  <c r="H644" i="4"/>
  <c r="E644" i="4"/>
  <c r="C644" i="4"/>
  <c r="A644" i="4"/>
  <c r="J643" i="4"/>
  <c r="H643" i="4"/>
  <c r="E643" i="4"/>
  <c r="C643" i="4"/>
  <c r="A643" i="4"/>
  <c r="J642" i="4"/>
  <c r="H642" i="4"/>
  <c r="E642" i="4"/>
  <c r="C642" i="4"/>
  <c r="A642" i="4"/>
  <c r="J641" i="4"/>
  <c r="H641" i="4"/>
  <c r="E641" i="4"/>
  <c r="C641" i="4"/>
  <c r="A641" i="4"/>
  <c r="J640" i="4"/>
  <c r="H640" i="4"/>
  <c r="E640" i="4"/>
  <c r="C640" i="4"/>
  <c r="A640" i="4"/>
  <c r="J639" i="4"/>
  <c r="H639" i="4"/>
  <c r="E639" i="4"/>
  <c r="C639" i="4"/>
  <c r="A639" i="4"/>
  <c r="J638" i="4"/>
  <c r="H638" i="4"/>
  <c r="E638" i="4"/>
  <c r="C638" i="4"/>
  <c r="A638" i="4"/>
  <c r="J637" i="4"/>
  <c r="H637" i="4"/>
  <c r="E637" i="4"/>
  <c r="C637" i="4"/>
  <c r="A637" i="4"/>
  <c r="J636" i="4"/>
  <c r="H636" i="4"/>
  <c r="E636" i="4"/>
  <c r="C636" i="4"/>
  <c r="A636" i="4"/>
  <c r="J635" i="4"/>
  <c r="H635" i="4"/>
  <c r="E635" i="4"/>
  <c r="C635" i="4"/>
  <c r="A635" i="4"/>
  <c r="J634" i="4"/>
  <c r="H634" i="4"/>
  <c r="E634" i="4"/>
  <c r="C634" i="4"/>
  <c r="A634" i="4"/>
  <c r="J633" i="4"/>
  <c r="H633" i="4"/>
  <c r="E633" i="4"/>
  <c r="C633" i="4"/>
  <c r="A633" i="4"/>
  <c r="J632" i="4"/>
  <c r="H632" i="4"/>
  <c r="E632" i="4"/>
  <c r="C632" i="4"/>
  <c r="A632" i="4"/>
  <c r="J631" i="4"/>
  <c r="H631" i="4"/>
  <c r="E631" i="4"/>
  <c r="C631" i="4"/>
  <c r="A631" i="4"/>
  <c r="J630" i="4"/>
  <c r="H630" i="4"/>
  <c r="E630" i="4"/>
  <c r="C630" i="4"/>
  <c r="A630" i="4"/>
  <c r="J629" i="4"/>
  <c r="H629" i="4"/>
  <c r="E629" i="4"/>
  <c r="C629" i="4"/>
  <c r="A629" i="4"/>
  <c r="J628" i="4"/>
  <c r="H628" i="4"/>
  <c r="E628" i="4"/>
  <c r="C628" i="4"/>
  <c r="A628" i="4"/>
  <c r="J627" i="4"/>
  <c r="H627" i="4"/>
  <c r="E627" i="4"/>
  <c r="C627" i="4"/>
  <c r="A627" i="4"/>
  <c r="J626" i="4"/>
  <c r="H626" i="4"/>
  <c r="E626" i="4"/>
  <c r="C626" i="4"/>
  <c r="A626" i="4"/>
  <c r="J625" i="4"/>
  <c r="H625" i="4"/>
  <c r="E625" i="4"/>
  <c r="C625" i="4"/>
  <c r="A625" i="4"/>
  <c r="J624" i="4"/>
  <c r="H624" i="4"/>
  <c r="E624" i="4"/>
  <c r="C624" i="4"/>
  <c r="A624" i="4"/>
  <c r="J623" i="4"/>
  <c r="H623" i="4"/>
  <c r="E623" i="4"/>
  <c r="C623" i="4"/>
  <c r="A623" i="4"/>
  <c r="J622" i="4"/>
  <c r="H622" i="4"/>
  <c r="E622" i="4"/>
  <c r="C622" i="4"/>
  <c r="A622" i="4"/>
  <c r="J621" i="4"/>
  <c r="H621" i="4"/>
  <c r="E621" i="4"/>
  <c r="C621" i="4"/>
  <c r="A621" i="4"/>
  <c r="J620" i="4"/>
  <c r="H620" i="4"/>
  <c r="E620" i="4"/>
  <c r="C620" i="4"/>
  <c r="A620" i="4"/>
  <c r="J619" i="4"/>
  <c r="H619" i="4"/>
  <c r="E619" i="4"/>
  <c r="C619" i="4"/>
  <c r="A619" i="4"/>
  <c r="J618" i="4"/>
  <c r="H618" i="4"/>
  <c r="E618" i="4"/>
  <c r="C618" i="4"/>
  <c r="A618" i="4"/>
  <c r="J617" i="4"/>
  <c r="H617" i="4"/>
  <c r="E617" i="4"/>
  <c r="C617" i="4"/>
  <c r="A617" i="4"/>
  <c r="J616" i="4"/>
  <c r="H616" i="4"/>
  <c r="E616" i="4"/>
  <c r="C616" i="4"/>
  <c r="A616" i="4"/>
  <c r="J615" i="4"/>
  <c r="H615" i="4"/>
  <c r="E615" i="4"/>
  <c r="C615" i="4"/>
  <c r="A615" i="4"/>
  <c r="J614" i="4"/>
  <c r="H614" i="4"/>
  <c r="E614" i="4"/>
  <c r="C614" i="4"/>
  <c r="A614" i="4"/>
  <c r="J613" i="4"/>
  <c r="H613" i="4"/>
  <c r="E613" i="4"/>
  <c r="C613" i="4"/>
  <c r="A613" i="4"/>
  <c r="J612" i="4"/>
  <c r="H612" i="4"/>
  <c r="E612" i="4"/>
  <c r="C612" i="4"/>
  <c r="A612" i="4"/>
  <c r="J611" i="4"/>
  <c r="H611" i="4"/>
  <c r="E611" i="4"/>
  <c r="C611" i="4"/>
  <c r="A611" i="4"/>
  <c r="J610" i="4"/>
  <c r="H610" i="4"/>
  <c r="E610" i="4"/>
  <c r="C610" i="4"/>
  <c r="A610" i="4"/>
  <c r="J609" i="4"/>
  <c r="H609" i="4"/>
  <c r="E609" i="4"/>
  <c r="C609" i="4"/>
  <c r="A609" i="4"/>
  <c r="J608" i="4"/>
  <c r="H608" i="4"/>
  <c r="E608" i="4"/>
  <c r="C608" i="4"/>
  <c r="A608" i="4"/>
  <c r="J607" i="4"/>
  <c r="H607" i="4"/>
  <c r="E607" i="4"/>
  <c r="C607" i="4"/>
  <c r="A607" i="4"/>
  <c r="J606" i="4"/>
  <c r="H606" i="4"/>
  <c r="E606" i="4"/>
  <c r="C606" i="4"/>
  <c r="A606" i="4"/>
  <c r="J605" i="4"/>
  <c r="H605" i="4"/>
  <c r="E605" i="4"/>
  <c r="C605" i="4"/>
  <c r="A605" i="4"/>
  <c r="J604" i="4"/>
  <c r="H604" i="4"/>
  <c r="E604" i="4"/>
  <c r="C604" i="4"/>
  <c r="A604" i="4"/>
  <c r="J603" i="4"/>
  <c r="H603" i="4"/>
  <c r="E603" i="4"/>
  <c r="C603" i="4"/>
  <c r="A603" i="4"/>
  <c r="J602" i="4"/>
  <c r="H602" i="4"/>
  <c r="E602" i="4"/>
  <c r="C602" i="4"/>
  <c r="A602" i="4"/>
  <c r="J601" i="4"/>
  <c r="H601" i="4"/>
  <c r="E601" i="4"/>
  <c r="C601" i="4"/>
  <c r="A601" i="4"/>
  <c r="J600" i="4"/>
  <c r="H600" i="4"/>
  <c r="E600" i="4"/>
  <c r="C600" i="4"/>
  <c r="A600" i="4"/>
  <c r="J599" i="4"/>
  <c r="H599" i="4"/>
  <c r="E599" i="4"/>
  <c r="C599" i="4"/>
  <c r="A599" i="4"/>
  <c r="J598" i="4"/>
  <c r="H598" i="4"/>
  <c r="E598" i="4"/>
  <c r="C598" i="4"/>
  <c r="A598" i="4"/>
  <c r="J597" i="4"/>
  <c r="H597" i="4"/>
  <c r="E597" i="4"/>
  <c r="C597" i="4"/>
  <c r="A597" i="4"/>
  <c r="J596" i="4"/>
  <c r="H596" i="4"/>
  <c r="E596" i="4"/>
  <c r="C596" i="4"/>
  <c r="A596" i="4"/>
  <c r="J595" i="4"/>
  <c r="H595" i="4"/>
  <c r="E595" i="4"/>
  <c r="C595" i="4"/>
  <c r="A595" i="4"/>
  <c r="J594" i="4"/>
  <c r="H594" i="4"/>
  <c r="E594" i="4"/>
  <c r="C594" i="4"/>
  <c r="A594" i="4"/>
  <c r="J593" i="4"/>
  <c r="H593" i="4"/>
  <c r="E593" i="4"/>
  <c r="C593" i="4"/>
  <c r="A593" i="4"/>
  <c r="J592" i="4"/>
  <c r="H592" i="4"/>
  <c r="E592" i="4"/>
  <c r="C592" i="4"/>
  <c r="A592" i="4"/>
  <c r="J591" i="4"/>
  <c r="H591" i="4"/>
  <c r="E591" i="4"/>
  <c r="C591" i="4"/>
  <c r="A591" i="4"/>
  <c r="J590" i="4"/>
  <c r="H590" i="4"/>
  <c r="E590" i="4"/>
  <c r="C590" i="4"/>
  <c r="A590" i="4"/>
  <c r="J589" i="4"/>
  <c r="H589" i="4"/>
  <c r="E589" i="4"/>
  <c r="C589" i="4"/>
  <c r="A589" i="4"/>
  <c r="J588" i="4"/>
  <c r="H588" i="4"/>
  <c r="E588" i="4"/>
  <c r="C588" i="4"/>
  <c r="A588" i="4"/>
  <c r="J587" i="4"/>
  <c r="H587" i="4"/>
  <c r="E587" i="4"/>
  <c r="C587" i="4"/>
  <c r="A587" i="4"/>
  <c r="J586" i="4"/>
  <c r="H586" i="4"/>
  <c r="E586" i="4"/>
  <c r="C586" i="4"/>
  <c r="A586" i="4"/>
  <c r="J585" i="4"/>
  <c r="H585" i="4"/>
  <c r="E585" i="4"/>
  <c r="C585" i="4"/>
  <c r="A585" i="4"/>
  <c r="J584" i="4"/>
  <c r="H584" i="4"/>
  <c r="E584" i="4"/>
  <c r="C584" i="4"/>
  <c r="A584" i="4"/>
  <c r="J583" i="4"/>
  <c r="H583" i="4"/>
  <c r="E583" i="4"/>
  <c r="C583" i="4"/>
  <c r="A583" i="4"/>
  <c r="J582" i="4"/>
  <c r="H582" i="4"/>
  <c r="E582" i="4"/>
  <c r="C582" i="4"/>
  <c r="A582" i="4"/>
  <c r="J581" i="4"/>
  <c r="H581" i="4"/>
  <c r="E581" i="4"/>
  <c r="C581" i="4"/>
  <c r="A581" i="4"/>
  <c r="J580" i="4"/>
  <c r="H580" i="4"/>
  <c r="E580" i="4"/>
  <c r="C580" i="4"/>
  <c r="A580" i="4"/>
  <c r="J579" i="4"/>
  <c r="H579" i="4"/>
  <c r="E579" i="4"/>
  <c r="C579" i="4"/>
  <c r="A579" i="4"/>
  <c r="J578" i="4"/>
  <c r="H578" i="4"/>
  <c r="E578" i="4"/>
  <c r="C578" i="4"/>
  <c r="A578" i="4"/>
  <c r="J577" i="4"/>
  <c r="H577" i="4"/>
  <c r="E577" i="4"/>
  <c r="C577" i="4"/>
  <c r="A577" i="4"/>
  <c r="J576" i="4"/>
  <c r="H576" i="4"/>
  <c r="E576" i="4"/>
  <c r="C576" i="4"/>
  <c r="A576" i="4"/>
  <c r="J575" i="4"/>
  <c r="H575" i="4"/>
  <c r="E575" i="4"/>
  <c r="C575" i="4"/>
  <c r="A575" i="4"/>
  <c r="J574" i="4"/>
  <c r="H574" i="4"/>
  <c r="E574" i="4"/>
  <c r="C574" i="4"/>
  <c r="A574" i="4"/>
  <c r="J573" i="4"/>
  <c r="H573" i="4"/>
  <c r="E573" i="4"/>
  <c r="C573" i="4"/>
  <c r="A573" i="4"/>
  <c r="J572" i="4"/>
  <c r="H572" i="4"/>
  <c r="E572" i="4"/>
  <c r="C572" i="4"/>
  <c r="A572" i="4"/>
  <c r="J571" i="4"/>
  <c r="H571" i="4"/>
  <c r="E571" i="4"/>
  <c r="C571" i="4"/>
  <c r="A571" i="4"/>
  <c r="J570" i="4"/>
  <c r="H570" i="4"/>
  <c r="E570" i="4"/>
  <c r="C570" i="4"/>
  <c r="A570" i="4"/>
  <c r="J569" i="4"/>
  <c r="H569" i="4"/>
  <c r="E569" i="4"/>
  <c r="C569" i="4"/>
  <c r="A569" i="4"/>
  <c r="J568" i="4"/>
  <c r="H568" i="4"/>
  <c r="E568" i="4"/>
  <c r="C568" i="4"/>
  <c r="A568" i="4"/>
  <c r="J567" i="4"/>
  <c r="H567" i="4"/>
  <c r="E567" i="4"/>
  <c r="C567" i="4"/>
  <c r="A567" i="4"/>
  <c r="J566" i="4"/>
  <c r="H566" i="4"/>
  <c r="E566" i="4"/>
  <c r="C566" i="4"/>
  <c r="A566" i="4"/>
  <c r="J565" i="4"/>
  <c r="H565" i="4"/>
  <c r="E565" i="4"/>
  <c r="C565" i="4"/>
  <c r="A565" i="4"/>
  <c r="J564" i="4"/>
  <c r="H564" i="4"/>
  <c r="E564" i="4"/>
  <c r="C564" i="4"/>
  <c r="A564" i="4"/>
  <c r="J563" i="4"/>
  <c r="H563" i="4"/>
  <c r="E563" i="4"/>
  <c r="C563" i="4"/>
  <c r="A563" i="4"/>
  <c r="J562" i="4"/>
  <c r="H562" i="4"/>
  <c r="E562" i="4"/>
  <c r="C562" i="4"/>
  <c r="A562" i="4"/>
  <c r="J561" i="4"/>
  <c r="H561" i="4"/>
  <c r="E561" i="4"/>
  <c r="C561" i="4"/>
  <c r="A561" i="4"/>
  <c r="J560" i="4"/>
  <c r="H560" i="4"/>
  <c r="E560" i="4"/>
  <c r="C560" i="4"/>
  <c r="A560" i="4"/>
  <c r="J559" i="4"/>
  <c r="H559" i="4"/>
  <c r="E559" i="4"/>
  <c r="C559" i="4"/>
  <c r="A559" i="4"/>
  <c r="J558" i="4"/>
  <c r="H558" i="4"/>
  <c r="E558" i="4"/>
  <c r="C558" i="4"/>
  <c r="A558" i="4"/>
  <c r="J557" i="4"/>
  <c r="H557" i="4"/>
  <c r="E557" i="4"/>
  <c r="C557" i="4"/>
  <c r="A557" i="4"/>
  <c r="J556" i="4"/>
  <c r="H556" i="4"/>
  <c r="E556" i="4"/>
  <c r="C556" i="4"/>
  <c r="A556" i="4"/>
  <c r="J555" i="4"/>
  <c r="H555" i="4"/>
  <c r="E555" i="4"/>
  <c r="C555" i="4"/>
  <c r="A555" i="4"/>
  <c r="J554" i="4"/>
  <c r="H554" i="4"/>
  <c r="E554" i="4"/>
  <c r="C554" i="4"/>
  <c r="A554" i="4"/>
  <c r="J553" i="4"/>
  <c r="H553" i="4"/>
  <c r="E553" i="4"/>
  <c r="C553" i="4"/>
  <c r="A553" i="4"/>
  <c r="J552" i="4"/>
  <c r="H552" i="4"/>
  <c r="E552" i="4"/>
  <c r="C552" i="4"/>
  <c r="A552" i="4"/>
  <c r="J551" i="4"/>
  <c r="H551" i="4"/>
  <c r="E551" i="4"/>
  <c r="C551" i="4"/>
  <c r="A551" i="4"/>
  <c r="J550" i="4"/>
  <c r="H550" i="4"/>
  <c r="E550" i="4"/>
  <c r="C550" i="4"/>
  <c r="A550" i="4"/>
  <c r="J549" i="4"/>
  <c r="H549" i="4"/>
  <c r="E549" i="4"/>
  <c r="C549" i="4"/>
  <c r="A549" i="4"/>
  <c r="J548" i="4"/>
  <c r="H548" i="4"/>
  <c r="E548" i="4"/>
  <c r="C548" i="4"/>
  <c r="A548" i="4"/>
  <c r="J547" i="4"/>
  <c r="H547" i="4"/>
  <c r="E547" i="4"/>
  <c r="C547" i="4"/>
  <c r="A547" i="4"/>
  <c r="J546" i="4"/>
  <c r="H546" i="4"/>
  <c r="E546" i="4"/>
  <c r="C546" i="4"/>
  <c r="A546" i="4"/>
  <c r="J545" i="4"/>
  <c r="H545" i="4"/>
  <c r="E545" i="4"/>
  <c r="C545" i="4"/>
  <c r="A545" i="4"/>
  <c r="J544" i="4"/>
  <c r="H544" i="4"/>
  <c r="E544" i="4"/>
  <c r="C544" i="4"/>
  <c r="A544" i="4"/>
  <c r="J543" i="4"/>
  <c r="H543" i="4"/>
  <c r="E543" i="4"/>
  <c r="C543" i="4"/>
  <c r="A543" i="4"/>
  <c r="J542" i="4"/>
  <c r="H542" i="4"/>
  <c r="E542" i="4"/>
  <c r="C542" i="4"/>
  <c r="A542" i="4"/>
  <c r="J541" i="4"/>
  <c r="H541" i="4"/>
  <c r="E541" i="4"/>
  <c r="C541" i="4"/>
  <c r="A541" i="4"/>
  <c r="J540" i="4"/>
  <c r="H540" i="4"/>
  <c r="E540" i="4"/>
  <c r="C540" i="4"/>
  <c r="A540" i="4"/>
  <c r="J539" i="4"/>
  <c r="H539" i="4"/>
  <c r="E539" i="4"/>
  <c r="C539" i="4"/>
  <c r="A539" i="4"/>
  <c r="J538" i="4"/>
  <c r="H538" i="4"/>
  <c r="E538" i="4"/>
  <c r="C538" i="4"/>
  <c r="A538" i="4"/>
  <c r="J537" i="4"/>
  <c r="H537" i="4"/>
  <c r="E537" i="4"/>
  <c r="C537" i="4"/>
  <c r="A537" i="4"/>
  <c r="J536" i="4"/>
  <c r="H536" i="4"/>
  <c r="E536" i="4"/>
  <c r="C536" i="4"/>
  <c r="A536" i="4"/>
  <c r="J535" i="4"/>
  <c r="H535" i="4"/>
  <c r="E535" i="4"/>
  <c r="C535" i="4"/>
  <c r="A535" i="4"/>
  <c r="J534" i="4"/>
  <c r="H534" i="4"/>
  <c r="E534" i="4"/>
  <c r="C534" i="4"/>
  <c r="A534" i="4"/>
  <c r="J533" i="4"/>
  <c r="H533" i="4"/>
  <c r="E533" i="4"/>
  <c r="C533" i="4"/>
  <c r="A533" i="4"/>
  <c r="J532" i="4"/>
  <c r="H532" i="4"/>
  <c r="E532" i="4"/>
  <c r="C532" i="4"/>
  <c r="A532" i="4"/>
  <c r="J531" i="4"/>
  <c r="H531" i="4"/>
  <c r="E531" i="4"/>
  <c r="C531" i="4"/>
  <c r="A531" i="4"/>
  <c r="J530" i="4"/>
  <c r="H530" i="4"/>
  <c r="E530" i="4"/>
  <c r="C530" i="4"/>
  <c r="A530" i="4"/>
  <c r="J529" i="4"/>
  <c r="H529" i="4"/>
  <c r="E529" i="4"/>
  <c r="C529" i="4"/>
  <c r="A529" i="4"/>
  <c r="J528" i="4"/>
  <c r="H528" i="4"/>
  <c r="E528" i="4"/>
  <c r="C528" i="4"/>
  <c r="A528" i="4"/>
  <c r="J527" i="4"/>
  <c r="H527" i="4"/>
  <c r="E527" i="4"/>
  <c r="C527" i="4"/>
  <c r="A527" i="4"/>
  <c r="J526" i="4"/>
  <c r="H526" i="4"/>
  <c r="E526" i="4"/>
  <c r="C526" i="4"/>
  <c r="A526" i="4"/>
  <c r="J525" i="4"/>
  <c r="H525" i="4"/>
  <c r="E525" i="4"/>
  <c r="C525" i="4"/>
  <c r="A525" i="4"/>
  <c r="J524" i="4"/>
  <c r="H524" i="4"/>
  <c r="E524" i="4"/>
  <c r="C524" i="4"/>
  <c r="A524" i="4"/>
  <c r="J523" i="4"/>
  <c r="H523" i="4"/>
  <c r="E523" i="4"/>
  <c r="C523" i="4"/>
  <c r="A523" i="4"/>
  <c r="J522" i="4"/>
  <c r="H522" i="4"/>
  <c r="E522" i="4"/>
  <c r="C522" i="4"/>
  <c r="A522" i="4"/>
  <c r="J521" i="4"/>
  <c r="H521" i="4"/>
  <c r="E521" i="4"/>
  <c r="C521" i="4"/>
  <c r="A521" i="4"/>
  <c r="J520" i="4"/>
  <c r="H520" i="4"/>
  <c r="E520" i="4"/>
  <c r="C520" i="4"/>
  <c r="A520" i="4"/>
  <c r="J519" i="4"/>
  <c r="H519" i="4"/>
  <c r="E519" i="4"/>
  <c r="C519" i="4"/>
  <c r="A519" i="4"/>
  <c r="J518" i="4"/>
  <c r="H518" i="4"/>
  <c r="E518" i="4"/>
  <c r="C518" i="4"/>
  <c r="A518" i="4"/>
  <c r="J517" i="4"/>
  <c r="H517" i="4"/>
  <c r="E517" i="4"/>
  <c r="C517" i="4"/>
  <c r="A517" i="4"/>
  <c r="J516" i="4"/>
  <c r="H516" i="4"/>
  <c r="E516" i="4"/>
  <c r="C516" i="4"/>
  <c r="A516" i="4"/>
  <c r="J515" i="4"/>
  <c r="H515" i="4"/>
  <c r="E515" i="4"/>
  <c r="C515" i="4"/>
  <c r="A515" i="4"/>
  <c r="J514" i="4"/>
  <c r="H514" i="4"/>
  <c r="E514" i="4"/>
  <c r="C514" i="4"/>
  <c r="A514" i="4"/>
  <c r="J513" i="4"/>
  <c r="H513" i="4"/>
  <c r="E513" i="4"/>
  <c r="C513" i="4"/>
  <c r="A513" i="4"/>
  <c r="J512" i="4"/>
  <c r="H512" i="4"/>
  <c r="E512" i="4"/>
  <c r="C512" i="4"/>
  <c r="A512" i="4"/>
  <c r="J511" i="4"/>
  <c r="H511" i="4"/>
  <c r="E511" i="4"/>
  <c r="C511" i="4"/>
  <c r="A511" i="4"/>
  <c r="J510" i="4"/>
  <c r="H510" i="4"/>
  <c r="E510" i="4"/>
  <c r="C510" i="4"/>
  <c r="A510" i="4"/>
  <c r="J509" i="4"/>
  <c r="H509" i="4"/>
  <c r="E509" i="4"/>
  <c r="C509" i="4"/>
  <c r="A509" i="4"/>
  <c r="J508" i="4"/>
  <c r="H508" i="4"/>
  <c r="E508" i="4"/>
  <c r="C508" i="4"/>
  <c r="A508" i="4"/>
  <c r="J507" i="4"/>
  <c r="H507" i="4"/>
  <c r="E507" i="4"/>
  <c r="C507" i="4"/>
  <c r="A507" i="4"/>
  <c r="J506" i="4"/>
  <c r="H506" i="4"/>
  <c r="E506" i="4"/>
  <c r="C506" i="4"/>
  <c r="A506" i="4"/>
  <c r="J505" i="4"/>
  <c r="H505" i="4"/>
  <c r="E505" i="4"/>
  <c r="C505" i="4"/>
  <c r="A505" i="4"/>
  <c r="J504" i="4"/>
  <c r="H504" i="4"/>
  <c r="E504" i="4"/>
  <c r="C504" i="4"/>
  <c r="A504" i="4"/>
  <c r="J503" i="4"/>
  <c r="H503" i="4"/>
  <c r="E503" i="4"/>
  <c r="C503" i="4"/>
  <c r="A503" i="4"/>
  <c r="J502" i="4"/>
  <c r="H502" i="4"/>
  <c r="E502" i="4"/>
  <c r="C502" i="4"/>
  <c r="A502" i="4"/>
  <c r="J501" i="4"/>
  <c r="H501" i="4"/>
  <c r="E501" i="4"/>
  <c r="C501" i="4"/>
  <c r="A501" i="4"/>
  <c r="J500" i="4"/>
  <c r="H500" i="4"/>
  <c r="E500" i="4"/>
  <c r="C500" i="4"/>
  <c r="A500" i="4"/>
  <c r="J499" i="4"/>
  <c r="H499" i="4"/>
  <c r="E499" i="4"/>
  <c r="C499" i="4"/>
  <c r="A499" i="4"/>
  <c r="J498" i="4"/>
  <c r="H498" i="4"/>
  <c r="E498" i="4"/>
  <c r="C498" i="4"/>
  <c r="A498" i="4"/>
  <c r="J497" i="4"/>
  <c r="H497" i="4"/>
  <c r="E497" i="4"/>
  <c r="C497" i="4"/>
  <c r="A497" i="4"/>
  <c r="J496" i="4"/>
  <c r="H496" i="4"/>
  <c r="E496" i="4"/>
  <c r="C496" i="4"/>
  <c r="A496" i="4"/>
  <c r="J495" i="4"/>
  <c r="H495" i="4"/>
  <c r="E495" i="4"/>
  <c r="C495" i="4"/>
  <c r="A495" i="4"/>
  <c r="J494" i="4"/>
  <c r="H494" i="4"/>
  <c r="E494" i="4"/>
  <c r="C494" i="4"/>
  <c r="A494" i="4"/>
  <c r="J493" i="4"/>
  <c r="H493" i="4"/>
  <c r="E493" i="4"/>
  <c r="C493" i="4"/>
  <c r="A493" i="4"/>
  <c r="J492" i="4"/>
  <c r="H492" i="4"/>
  <c r="E492" i="4"/>
  <c r="C492" i="4"/>
  <c r="A492" i="4"/>
  <c r="J491" i="4"/>
  <c r="H491" i="4"/>
  <c r="E491" i="4"/>
  <c r="C491" i="4"/>
  <c r="A491" i="4"/>
  <c r="J490" i="4"/>
  <c r="H490" i="4"/>
  <c r="E490" i="4"/>
  <c r="C490" i="4"/>
  <c r="A490" i="4"/>
  <c r="J489" i="4"/>
  <c r="H489" i="4"/>
  <c r="E489" i="4"/>
  <c r="C489" i="4"/>
  <c r="A489" i="4"/>
  <c r="J488" i="4"/>
  <c r="H488" i="4"/>
  <c r="E488" i="4"/>
  <c r="C488" i="4"/>
  <c r="A488" i="4"/>
  <c r="J487" i="4"/>
  <c r="H487" i="4"/>
  <c r="E487" i="4"/>
  <c r="C487" i="4"/>
  <c r="A487" i="4"/>
  <c r="J486" i="4"/>
  <c r="H486" i="4"/>
  <c r="E486" i="4"/>
  <c r="C486" i="4"/>
  <c r="A486" i="4"/>
  <c r="J485" i="4"/>
  <c r="H485" i="4"/>
  <c r="E485" i="4"/>
  <c r="C485" i="4"/>
  <c r="A485" i="4"/>
  <c r="J484" i="4"/>
  <c r="H484" i="4"/>
  <c r="E484" i="4"/>
  <c r="C484" i="4"/>
  <c r="A484" i="4"/>
  <c r="J483" i="4"/>
  <c r="H483" i="4"/>
  <c r="E483" i="4"/>
  <c r="C483" i="4"/>
  <c r="A483" i="4"/>
  <c r="J482" i="4"/>
  <c r="H482" i="4"/>
  <c r="E482" i="4"/>
  <c r="C482" i="4"/>
  <c r="A482" i="4"/>
  <c r="J481" i="4"/>
  <c r="H481" i="4"/>
  <c r="E481" i="4"/>
  <c r="C481" i="4"/>
  <c r="A481" i="4"/>
  <c r="J480" i="4"/>
  <c r="H480" i="4"/>
  <c r="E480" i="4"/>
  <c r="C480" i="4"/>
  <c r="A480" i="4"/>
  <c r="J479" i="4"/>
  <c r="H479" i="4"/>
  <c r="E479" i="4"/>
  <c r="C479" i="4"/>
  <c r="A479" i="4"/>
  <c r="J478" i="4"/>
  <c r="H478" i="4"/>
  <c r="E478" i="4"/>
  <c r="C478" i="4"/>
  <c r="A478" i="4"/>
  <c r="J477" i="4"/>
  <c r="H477" i="4"/>
  <c r="E477" i="4"/>
  <c r="C477" i="4"/>
  <c r="A477" i="4"/>
  <c r="J476" i="4"/>
  <c r="H476" i="4"/>
  <c r="E476" i="4"/>
  <c r="C476" i="4"/>
  <c r="A476" i="4"/>
  <c r="J475" i="4"/>
  <c r="H475" i="4"/>
  <c r="E475" i="4"/>
  <c r="C475" i="4"/>
  <c r="A475" i="4"/>
  <c r="J474" i="4"/>
  <c r="H474" i="4"/>
  <c r="E474" i="4"/>
  <c r="C474" i="4"/>
  <c r="A474" i="4"/>
  <c r="J473" i="4"/>
  <c r="H473" i="4"/>
  <c r="E473" i="4"/>
  <c r="C473" i="4"/>
  <c r="A473" i="4"/>
  <c r="J472" i="4"/>
  <c r="H472" i="4"/>
  <c r="E472" i="4"/>
  <c r="C472" i="4"/>
  <c r="A472" i="4"/>
  <c r="J471" i="4"/>
  <c r="H471" i="4"/>
  <c r="E471" i="4"/>
  <c r="C471" i="4"/>
  <c r="A471" i="4"/>
  <c r="J470" i="4"/>
  <c r="H470" i="4"/>
  <c r="E470" i="4"/>
  <c r="C470" i="4"/>
  <c r="A470" i="4"/>
  <c r="J469" i="4"/>
  <c r="H469" i="4"/>
  <c r="E469" i="4"/>
  <c r="C469" i="4"/>
  <c r="A469" i="4"/>
  <c r="J468" i="4"/>
  <c r="H468" i="4"/>
  <c r="E468" i="4"/>
  <c r="C468" i="4"/>
  <c r="A468" i="4"/>
  <c r="J467" i="4"/>
  <c r="H467" i="4"/>
  <c r="E467" i="4"/>
  <c r="C467" i="4"/>
  <c r="A467" i="4"/>
  <c r="J466" i="4"/>
  <c r="H466" i="4"/>
  <c r="E466" i="4"/>
  <c r="C466" i="4"/>
  <c r="A466" i="4"/>
  <c r="J465" i="4"/>
  <c r="H465" i="4"/>
  <c r="E465" i="4"/>
  <c r="C465" i="4"/>
  <c r="A465" i="4"/>
  <c r="J464" i="4"/>
  <c r="H464" i="4"/>
  <c r="E464" i="4"/>
  <c r="C464" i="4"/>
  <c r="A464" i="4"/>
  <c r="J463" i="4"/>
  <c r="H463" i="4"/>
  <c r="E463" i="4"/>
  <c r="C463" i="4"/>
  <c r="A463" i="4"/>
  <c r="J462" i="4"/>
  <c r="H462" i="4"/>
  <c r="E462" i="4"/>
  <c r="C462" i="4"/>
  <c r="A462" i="4"/>
  <c r="J461" i="4"/>
  <c r="H461" i="4"/>
  <c r="E461" i="4"/>
  <c r="C461" i="4"/>
  <c r="A461" i="4"/>
  <c r="J460" i="4"/>
  <c r="H460" i="4"/>
  <c r="E460" i="4"/>
  <c r="C460" i="4"/>
  <c r="A460" i="4"/>
  <c r="J459" i="4"/>
  <c r="H459" i="4"/>
  <c r="E459" i="4"/>
  <c r="C459" i="4"/>
  <c r="A459" i="4"/>
  <c r="J458" i="4"/>
  <c r="H458" i="4"/>
  <c r="E458" i="4"/>
  <c r="C458" i="4"/>
  <c r="A458" i="4"/>
  <c r="J457" i="4"/>
  <c r="H457" i="4"/>
  <c r="E457" i="4"/>
  <c r="C457" i="4"/>
  <c r="A457" i="4"/>
  <c r="J456" i="4"/>
  <c r="H456" i="4"/>
  <c r="E456" i="4"/>
  <c r="C456" i="4"/>
  <c r="A456" i="4"/>
  <c r="J455" i="4"/>
  <c r="H455" i="4"/>
  <c r="E455" i="4"/>
  <c r="C455" i="4"/>
  <c r="A455" i="4"/>
  <c r="J454" i="4"/>
  <c r="H454" i="4"/>
  <c r="E454" i="4"/>
  <c r="C454" i="4"/>
  <c r="A454" i="4"/>
  <c r="J453" i="4"/>
  <c r="H453" i="4"/>
  <c r="E453" i="4"/>
  <c r="C453" i="4"/>
  <c r="A453" i="4"/>
  <c r="J452" i="4"/>
  <c r="H452" i="4"/>
  <c r="E452" i="4"/>
  <c r="C452" i="4"/>
  <c r="A452" i="4"/>
  <c r="J451" i="4"/>
  <c r="H451" i="4"/>
  <c r="E451" i="4"/>
  <c r="C451" i="4"/>
  <c r="A451" i="4"/>
  <c r="J450" i="4"/>
  <c r="H450" i="4"/>
  <c r="E450" i="4"/>
  <c r="C450" i="4"/>
  <c r="A450" i="4"/>
  <c r="J449" i="4"/>
  <c r="H449" i="4"/>
  <c r="E449" i="4"/>
  <c r="C449" i="4"/>
  <c r="A449" i="4"/>
  <c r="J448" i="4"/>
  <c r="H448" i="4"/>
  <c r="E448" i="4"/>
  <c r="C448" i="4"/>
  <c r="A448" i="4"/>
  <c r="J447" i="4"/>
  <c r="H447" i="4"/>
  <c r="E447" i="4"/>
  <c r="C447" i="4"/>
  <c r="A447" i="4"/>
  <c r="J446" i="4"/>
  <c r="H446" i="4"/>
  <c r="E446" i="4"/>
  <c r="C446" i="4"/>
  <c r="A446" i="4"/>
  <c r="J445" i="4"/>
  <c r="H445" i="4"/>
  <c r="E445" i="4"/>
  <c r="C445" i="4"/>
  <c r="A445" i="4"/>
  <c r="J444" i="4"/>
  <c r="H444" i="4"/>
  <c r="E444" i="4"/>
  <c r="C444" i="4"/>
  <c r="A444" i="4"/>
  <c r="J443" i="4"/>
  <c r="H443" i="4"/>
  <c r="E443" i="4"/>
  <c r="C443" i="4"/>
  <c r="A443" i="4"/>
  <c r="J442" i="4"/>
  <c r="H442" i="4"/>
  <c r="E442" i="4"/>
  <c r="C442" i="4"/>
  <c r="A442" i="4"/>
  <c r="J441" i="4"/>
  <c r="H441" i="4"/>
  <c r="E441" i="4"/>
  <c r="C441" i="4"/>
  <c r="A441" i="4"/>
  <c r="J440" i="4"/>
  <c r="H440" i="4"/>
  <c r="E440" i="4"/>
  <c r="C440" i="4"/>
  <c r="A440" i="4"/>
  <c r="J439" i="4"/>
  <c r="H439" i="4"/>
  <c r="E439" i="4"/>
  <c r="C439" i="4"/>
  <c r="A439" i="4"/>
  <c r="J438" i="4"/>
  <c r="H438" i="4"/>
  <c r="E438" i="4"/>
  <c r="C438" i="4"/>
  <c r="A438" i="4"/>
  <c r="J437" i="4"/>
  <c r="H437" i="4"/>
  <c r="E437" i="4"/>
  <c r="C437" i="4"/>
  <c r="A437" i="4"/>
  <c r="J436" i="4"/>
  <c r="H436" i="4"/>
  <c r="E436" i="4"/>
  <c r="C436" i="4"/>
  <c r="A436" i="4"/>
  <c r="J435" i="4"/>
  <c r="H435" i="4"/>
  <c r="E435" i="4"/>
  <c r="C435" i="4"/>
  <c r="A435" i="4"/>
  <c r="J434" i="4"/>
  <c r="H434" i="4"/>
  <c r="E434" i="4"/>
  <c r="C434" i="4"/>
  <c r="A434" i="4"/>
  <c r="J433" i="4"/>
  <c r="H433" i="4"/>
  <c r="E433" i="4"/>
  <c r="C433" i="4"/>
  <c r="A433" i="4"/>
  <c r="J432" i="4"/>
  <c r="H432" i="4"/>
  <c r="E432" i="4"/>
  <c r="C432" i="4"/>
  <c r="A432" i="4"/>
  <c r="J431" i="4"/>
  <c r="H431" i="4"/>
  <c r="E431" i="4"/>
  <c r="C431" i="4"/>
  <c r="A431" i="4"/>
  <c r="J430" i="4"/>
  <c r="H430" i="4"/>
  <c r="E430" i="4"/>
  <c r="C430" i="4"/>
  <c r="A430" i="4"/>
  <c r="J429" i="4"/>
  <c r="H429" i="4"/>
  <c r="E429" i="4"/>
  <c r="C429" i="4"/>
  <c r="A429" i="4"/>
  <c r="J428" i="4"/>
  <c r="H428" i="4"/>
  <c r="E428" i="4"/>
  <c r="C428" i="4"/>
  <c r="A428" i="4"/>
  <c r="J427" i="4"/>
  <c r="H427" i="4"/>
  <c r="E427" i="4"/>
  <c r="C427" i="4"/>
  <c r="A427" i="4"/>
  <c r="J426" i="4"/>
  <c r="H426" i="4"/>
  <c r="E426" i="4"/>
  <c r="C426" i="4"/>
  <c r="A426" i="4"/>
  <c r="J425" i="4"/>
  <c r="H425" i="4"/>
  <c r="E425" i="4"/>
  <c r="C425" i="4"/>
  <c r="A425" i="4"/>
  <c r="J424" i="4"/>
  <c r="H424" i="4"/>
  <c r="E424" i="4"/>
  <c r="C424" i="4"/>
  <c r="A424" i="4"/>
  <c r="J423" i="4"/>
  <c r="H423" i="4"/>
  <c r="E423" i="4"/>
  <c r="C423" i="4"/>
  <c r="A423" i="4"/>
  <c r="J422" i="4"/>
  <c r="H422" i="4"/>
  <c r="E422" i="4"/>
  <c r="C422" i="4"/>
  <c r="A422" i="4"/>
  <c r="J421" i="4"/>
  <c r="H421" i="4"/>
  <c r="E421" i="4"/>
  <c r="C421" i="4"/>
  <c r="A421" i="4"/>
  <c r="J420" i="4"/>
  <c r="H420" i="4"/>
  <c r="E420" i="4"/>
  <c r="C420" i="4"/>
  <c r="A420" i="4"/>
  <c r="J419" i="4"/>
  <c r="H419" i="4"/>
  <c r="E419" i="4"/>
  <c r="C419" i="4"/>
  <c r="A419" i="4"/>
  <c r="J418" i="4"/>
  <c r="H418" i="4"/>
  <c r="E418" i="4"/>
  <c r="C418" i="4"/>
  <c r="A418" i="4"/>
  <c r="J417" i="4"/>
  <c r="H417" i="4"/>
  <c r="E417" i="4"/>
  <c r="C417" i="4"/>
  <c r="A417" i="4"/>
  <c r="J416" i="4"/>
  <c r="H416" i="4"/>
  <c r="E416" i="4"/>
  <c r="C416" i="4"/>
  <c r="A416" i="4"/>
  <c r="J415" i="4"/>
  <c r="H415" i="4"/>
  <c r="E415" i="4"/>
  <c r="C415" i="4"/>
  <c r="A415" i="4"/>
  <c r="J414" i="4"/>
  <c r="H414" i="4"/>
  <c r="E414" i="4"/>
  <c r="C414" i="4"/>
  <c r="A414" i="4"/>
  <c r="J413" i="4"/>
  <c r="H413" i="4"/>
  <c r="E413" i="4"/>
  <c r="C413" i="4"/>
  <c r="A413" i="4"/>
  <c r="J412" i="4"/>
  <c r="H412" i="4"/>
  <c r="E412" i="4"/>
  <c r="C412" i="4"/>
  <c r="A412" i="4"/>
  <c r="J411" i="4"/>
  <c r="H411" i="4"/>
  <c r="E411" i="4"/>
  <c r="C411" i="4"/>
  <c r="A411" i="4"/>
  <c r="J410" i="4"/>
  <c r="H410" i="4"/>
  <c r="E410" i="4"/>
  <c r="C410" i="4"/>
  <c r="A410" i="4"/>
  <c r="J409" i="4"/>
  <c r="H409" i="4"/>
  <c r="E409" i="4"/>
  <c r="C409" i="4"/>
  <c r="A409" i="4"/>
  <c r="J408" i="4"/>
  <c r="H408" i="4"/>
  <c r="E408" i="4"/>
  <c r="C408" i="4"/>
  <c r="A408" i="4"/>
  <c r="J407" i="4"/>
  <c r="H407" i="4"/>
  <c r="E407" i="4"/>
  <c r="C407" i="4"/>
  <c r="A407" i="4"/>
  <c r="J406" i="4"/>
  <c r="H406" i="4"/>
  <c r="E406" i="4"/>
  <c r="C406" i="4"/>
  <c r="A406" i="4"/>
  <c r="J405" i="4"/>
  <c r="H405" i="4"/>
  <c r="E405" i="4"/>
  <c r="C405" i="4"/>
  <c r="A405" i="4"/>
  <c r="J404" i="4"/>
  <c r="H404" i="4"/>
  <c r="E404" i="4"/>
  <c r="C404" i="4"/>
  <c r="A404" i="4"/>
  <c r="J403" i="4"/>
  <c r="H403" i="4"/>
  <c r="E403" i="4"/>
  <c r="C403" i="4"/>
  <c r="A403" i="4"/>
  <c r="J402" i="4"/>
  <c r="H402" i="4"/>
  <c r="E402" i="4"/>
  <c r="C402" i="4"/>
  <c r="A402" i="4"/>
  <c r="J401" i="4"/>
  <c r="H401" i="4"/>
  <c r="E401" i="4"/>
  <c r="C401" i="4"/>
  <c r="A401" i="4"/>
  <c r="J400" i="4"/>
  <c r="H400" i="4"/>
  <c r="E400" i="4"/>
  <c r="C400" i="4"/>
  <c r="A400" i="4"/>
  <c r="J399" i="4"/>
  <c r="H399" i="4"/>
  <c r="E399" i="4"/>
  <c r="C399" i="4"/>
  <c r="A399" i="4"/>
  <c r="J398" i="4"/>
  <c r="H398" i="4"/>
  <c r="E398" i="4"/>
  <c r="C398" i="4"/>
  <c r="A398" i="4"/>
  <c r="J397" i="4"/>
  <c r="H397" i="4"/>
  <c r="E397" i="4"/>
  <c r="C397" i="4"/>
  <c r="A397" i="4"/>
  <c r="J396" i="4"/>
  <c r="H396" i="4"/>
  <c r="E396" i="4"/>
  <c r="C396" i="4"/>
  <c r="A396" i="4"/>
  <c r="J395" i="4"/>
  <c r="H395" i="4"/>
  <c r="E395" i="4"/>
  <c r="C395" i="4"/>
  <c r="A395" i="4"/>
  <c r="J394" i="4"/>
  <c r="H394" i="4"/>
  <c r="E394" i="4"/>
  <c r="C394" i="4"/>
  <c r="A394" i="4"/>
  <c r="J393" i="4"/>
  <c r="H393" i="4"/>
  <c r="E393" i="4"/>
  <c r="C393" i="4"/>
  <c r="A393" i="4"/>
  <c r="J392" i="4"/>
  <c r="H392" i="4"/>
  <c r="E392" i="4"/>
  <c r="C392" i="4"/>
  <c r="A392" i="4"/>
  <c r="J391" i="4"/>
  <c r="H391" i="4"/>
  <c r="E391" i="4"/>
  <c r="C391" i="4"/>
  <c r="A391" i="4"/>
  <c r="J390" i="4"/>
  <c r="H390" i="4"/>
  <c r="E390" i="4"/>
  <c r="C390" i="4"/>
  <c r="A390" i="4"/>
  <c r="J389" i="4"/>
  <c r="H389" i="4"/>
  <c r="E389" i="4"/>
  <c r="C389" i="4"/>
  <c r="A389" i="4"/>
  <c r="J388" i="4"/>
  <c r="H388" i="4"/>
  <c r="E388" i="4"/>
  <c r="C388" i="4"/>
  <c r="A388" i="4"/>
  <c r="J387" i="4"/>
  <c r="H387" i="4"/>
  <c r="E387" i="4"/>
  <c r="C387" i="4"/>
  <c r="A387" i="4"/>
  <c r="J386" i="4"/>
  <c r="H386" i="4"/>
  <c r="E386" i="4"/>
  <c r="C386" i="4"/>
  <c r="A386" i="4"/>
  <c r="J385" i="4"/>
  <c r="H385" i="4"/>
  <c r="E385" i="4"/>
  <c r="C385" i="4"/>
  <c r="A385" i="4"/>
  <c r="J384" i="4"/>
  <c r="H384" i="4"/>
  <c r="E384" i="4"/>
  <c r="C384" i="4"/>
  <c r="A384" i="4"/>
  <c r="J383" i="4"/>
  <c r="H383" i="4"/>
  <c r="E383" i="4"/>
  <c r="C383" i="4"/>
  <c r="A383" i="4"/>
  <c r="J382" i="4"/>
  <c r="H382" i="4"/>
  <c r="E382" i="4"/>
  <c r="C382" i="4"/>
  <c r="A382" i="4"/>
  <c r="J381" i="4"/>
  <c r="H381" i="4"/>
  <c r="E381" i="4"/>
  <c r="C381" i="4"/>
  <c r="A381" i="4"/>
  <c r="J380" i="4"/>
  <c r="H380" i="4"/>
  <c r="E380" i="4"/>
  <c r="C380" i="4"/>
  <c r="A380" i="4"/>
  <c r="J379" i="4"/>
  <c r="H379" i="4"/>
  <c r="E379" i="4"/>
  <c r="C379" i="4"/>
  <c r="A379" i="4"/>
  <c r="J378" i="4"/>
  <c r="H378" i="4"/>
  <c r="E378" i="4"/>
  <c r="C378" i="4"/>
  <c r="A378" i="4"/>
  <c r="J377" i="4"/>
  <c r="H377" i="4"/>
  <c r="E377" i="4"/>
  <c r="C377" i="4"/>
  <c r="A377" i="4"/>
  <c r="J376" i="4"/>
  <c r="H376" i="4"/>
  <c r="E376" i="4"/>
  <c r="C376" i="4"/>
  <c r="A376" i="4"/>
  <c r="J375" i="4"/>
  <c r="H375" i="4"/>
  <c r="E375" i="4"/>
  <c r="C375" i="4"/>
  <c r="A375" i="4"/>
  <c r="J374" i="4"/>
  <c r="H374" i="4"/>
  <c r="E374" i="4"/>
  <c r="C374" i="4"/>
  <c r="A374" i="4"/>
  <c r="J373" i="4"/>
  <c r="H373" i="4"/>
  <c r="E373" i="4"/>
  <c r="C373" i="4"/>
  <c r="A373" i="4"/>
  <c r="J372" i="4"/>
  <c r="H372" i="4"/>
  <c r="E372" i="4"/>
  <c r="C372" i="4"/>
  <c r="A372" i="4"/>
  <c r="J371" i="4"/>
  <c r="H371" i="4"/>
  <c r="E371" i="4"/>
  <c r="C371" i="4"/>
  <c r="A371" i="4"/>
  <c r="J370" i="4"/>
  <c r="H370" i="4"/>
  <c r="E370" i="4"/>
  <c r="C370" i="4"/>
  <c r="A370" i="4"/>
  <c r="J369" i="4"/>
  <c r="H369" i="4"/>
  <c r="E369" i="4"/>
  <c r="C369" i="4"/>
  <c r="A369" i="4"/>
  <c r="J368" i="4"/>
  <c r="H368" i="4"/>
  <c r="E368" i="4"/>
  <c r="C368" i="4"/>
  <c r="A368" i="4"/>
  <c r="J367" i="4"/>
  <c r="H367" i="4"/>
  <c r="E367" i="4"/>
  <c r="C367" i="4"/>
  <c r="A367" i="4"/>
  <c r="J366" i="4"/>
  <c r="H366" i="4"/>
  <c r="E366" i="4"/>
  <c r="C366" i="4"/>
  <c r="A366" i="4"/>
  <c r="J365" i="4"/>
  <c r="H365" i="4"/>
  <c r="E365" i="4"/>
  <c r="C365" i="4"/>
  <c r="A365" i="4"/>
  <c r="J364" i="4"/>
  <c r="H364" i="4"/>
  <c r="E364" i="4"/>
  <c r="C364" i="4"/>
  <c r="A364" i="4"/>
  <c r="J363" i="4"/>
  <c r="H363" i="4"/>
  <c r="E363" i="4"/>
  <c r="C363" i="4"/>
  <c r="A363" i="4"/>
  <c r="J362" i="4"/>
  <c r="H362" i="4"/>
  <c r="E362" i="4"/>
  <c r="C362" i="4"/>
  <c r="A362" i="4"/>
  <c r="J361" i="4"/>
  <c r="H361" i="4"/>
  <c r="E361" i="4"/>
  <c r="C361" i="4"/>
  <c r="A361" i="4"/>
  <c r="J360" i="4"/>
  <c r="H360" i="4"/>
  <c r="E360" i="4"/>
  <c r="C360" i="4"/>
  <c r="A360" i="4"/>
  <c r="J359" i="4"/>
  <c r="H359" i="4"/>
  <c r="E359" i="4"/>
  <c r="C359" i="4"/>
  <c r="A359" i="4"/>
  <c r="J358" i="4"/>
  <c r="H358" i="4"/>
  <c r="E358" i="4"/>
  <c r="C358" i="4"/>
  <c r="A358" i="4"/>
  <c r="J357" i="4"/>
  <c r="H357" i="4"/>
  <c r="E357" i="4"/>
  <c r="C357" i="4"/>
  <c r="A357" i="4"/>
  <c r="J356" i="4"/>
  <c r="H356" i="4"/>
  <c r="E356" i="4"/>
  <c r="C356" i="4"/>
  <c r="A356" i="4"/>
  <c r="J355" i="4"/>
  <c r="H355" i="4"/>
  <c r="E355" i="4"/>
  <c r="C355" i="4"/>
  <c r="A355" i="4"/>
  <c r="J354" i="4"/>
  <c r="H354" i="4"/>
  <c r="E354" i="4"/>
  <c r="C354" i="4"/>
  <c r="A354" i="4"/>
  <c r="J353" i="4"/>
  <c r="H353" i="4"/>
  <c r="E353" i="4"/>
  <c r="C353" i="4"/>
  <c r="A353" i="4"/>
  <c r="J352" i="4"/>
  <c r="H352" i="4"/>
  <c r="E352" i="4"/>
  <c r="C352" i="4"/>
  <c r="A352" i="4"/>
  <c r="J351" i="4"/>
  <c r="H351" i="4"/>
  <c r="E351" i="4"/>
  <c r="C351" i="4"/>
  <c r="A351" i="4"/>
  <c r="J350" i="4"/>
  <c r="H350" i="4"/>
  <c r="E350" i="4"/>
  <c r="C350" i="4"/>
  <c r="A350" i="4"/>
  <c r="J349" i="4"/>
  <c r="H349" i="4"/>
  <c r="E349" i="4"/>
  <c r="C349" i="4"/>
  <c r="A349" i="4"/>
  <c r="J348" i="4"/>
  <c r="H348" i="4"/>
  <c r="E348" i="4"/>
  <c r="C348" i="4"/>
  <c r="A348" i="4"/>
  <c r="J347" i="4"/>
  <c r="H347" i="4"/>
  <c r="E347" i="4"/>
  <c r="C347" i="4"/>
  <c r="A347" i="4"/>
  <c r="J346" i="4"/>
  <c r="H346" i="4"/>
  <c r="E346" i="4"/>
  <c r="C346" i="4"/>
  <c r="A346" i="4"/>
  <c r="J345" i="4"/>
  <c r="H345" i="4"/>
  <c r="E345" i="4"/>
  <c r="C345" i="4"/>
  <c r="A345" i="4"/>
  <c r="J344" i="4"/>
  <c r="H344" i="4"/>
  <c r="E344" i="4"/>
  <c r="C344" i="4"/>
  <c r="A344" i="4"/>
  <c r="J343" i="4"/>
  <c r="H343" i="4"/>
  <c r="E343" i="4"/>
  <c r="C343" i="4"/>
  <c r="A343" i="4"/>
  <c r="J342" i="4"/>
  <c r="H342" i="4"/>
  <c r="E342" i="4"/>
  <c r="C342" i="4"/>
  <c r="A342" i="4"/>
  <c r="J341" i="4"/>
  <c r="H341" i="4"/>
  <c r="E341" i="4"/>
  <c r="C341" i="4"/>
  <c r="A341" i="4"/>
  <c r="J340" i="4"/>
  <c r="H340" i="4"/>
  <c r="E340" i="4"/>
  <c r="C340" i="4"/>
  <c r="A340" i="4"/>
  <c r="J339" i="4"/>
  <c r="H339" i="4"/>
  <c r="E339" i="4"/>
  <c r="C339" i="4"/>
  <c r="A339" i="4"/>
  <c r="J338" i="4"/>
  <c r="H338" i="4"/>
  <c r="E338" i="4"/>
  <c r="C338" i="4"/>
  <c r="A338" i="4"/>
  <c r="J337" i="4"/>
  <c r="H337" i="4"/>
  <c r="E337" i="4"/>
  <c r="C337" i="4"/>
  <c r="A337" i="4"/>
  <c r="J336" i="4"/>
  <c r="H336" i="4"/>
  <c r="E336" i="4"/>
  <c r="C336" i="4"/>
  <c r="A336" i="4"/>
  <c r="J335" i="4"/>
  <c r="H335" i="4"/>
  <c r="E335" i="4"/>
  <c r="C335" i="4"/>
  <c r="A335" i="4"/>
  <c r="J334" i="4"/>
  <c r="H334" i="4"/>
  <c r="E334" i="4"/>
  <c r="C334" i="4"/>
  <c r="A334" i="4"/>
  <c r="J333" i="4"/>
  <c r="H333" i="4"/>
  <c r="E333" i="4"/>
  <c r="C333" i="4"/>
  <c r="A333" i="4"/>
  <c r="J332" i="4"/>
  <c r="H332" i="4"/>
  <c r="E332" i="4"/>
  <c r="C332" i="4"/>
  <c r="A332" i="4"/>
  <c r="J331" i="4"/>
  <c r="H331" i="4"/>
  <c r="E331" i="4"/>
  <c r="C331" i="4"/>
  <c r="A331" i="4"/>
  <c r="J330" i="4"/>
  <c r="H330" i="4"/>
  <c r="E330" i="4"/>
  <c r="C330" i="4"/>
  <c r="A330" i="4"/>
  <c r="J329" i="4"/>
  <c r="H329" i="4"/>
  <c r="E329" i="4"/>
  <c r="C329" i="4"/>
  <c r="A329" i="4"/>
  <c r="J328" i="4"/>
  <c r="H328" i="4"/>
  <c r="E328" i="4"/>
  <c r="C328" i="4"/>
  <c r="A328" i="4"/>
  <c r="J327" i="4"/>
  <c r="H327" i="4"/>
  <c r="E327" i="4"/>
  <c r="C327" i="4"/>
  <c r="A327" i="4"/>
  <c r="J326" i="4"/>
  <c r="H326" i="4"/>
  <c r="E326" i="4"/>
  <c r="C326" i="4"/>
  <c r="A326" i="4"/>
  <c r="J325" i="4"/>
  <c r="H325" i="4"/>
  <c r="E325" i="4"/>
  <c r="C325" i="4"/>
  <c r="A325" i="4"/>
  <c r="J324" i="4"/>
  <c r="H324" i="4"/>
  <c r="E324" i="4"/>
  <c r="C324" i="4"/>
  <c r="A324" i="4"/>
  <c r="J323" i="4"/>
  <c r="H323" i="4"/>
  <c r="E323" i="4"/>
  <c r="C323" i="4"/>
  <c r="A323" i="4"/>
  <c r="J322" i="4"/>
  <c r="H322" i="4"/>
  <c r="E322" i="4"/>
  <c r="C322" i="4"/>
  <c r="A322" i="4"/>
  <c r="J321" i="4"/>
  <c r="H321" i="4"/>
  <c r="E321" i="4"/>
  <c r="C321" i="4"/>
  <c r="A321" i="4"/>
  <c r="J320" i="4"/>
  <c r="H320" i="4"/>
  <c r="E320" i="4"/>
  <c r="C320" i="4"/>
  <c r="A320" i="4"/>
  <c r="J319" i="4"/>
  <c r="H319" i="4"/>
  <c r="E319" i="4"/>
  <c r="C319" i="4"/>
  <c r="A319" i="4"/>
  <c r="J318" i="4"/>
  <c r="H318" i="4"/>
  <c r="E318" i="4"/>
  <c r="C318" i="4"/>
  <c r="A318" i="4"/>
  <c r="J317" i="4"/>
  <c r="H317" i="4"/>
  <c r="E317" i="4"/>
  <c r="C317" i="4"/>
  <c r="A317" i="4"/>
  <c r="J316" i="4"/>
  <c r="H316" i="4"/>
  <c r="E316" i="4"/>
  <c r="C316" i="4"/>
  <c r="A316" i="4"/>
  <c r="J315" i="4"/>
  <c r="H315" i="4"/>
  <c r="E315" i="4"/>
  <c r="C315" i="4"/>
  <c r="A315" i="4"/>
  <c r="J314" i="4"/>
  <c r="H314" i="4"/>
  <c r="E314" i="4"/>
  <c r="C314" i="4"/>
  <c r="A314" i="4"/>
  <c r="J313" i="4"/>
  <c r="H313" i="4"/>
  <c r="E313" i="4"/>
  <c r="C313" i="4"/>
  <c r="A313" i="4"/>
  <c r="J312" i="4"/>
  <c r="H312" i="4"/>
  <c r="E312" i="4"/>
  <c r="C312" i="4"/>
  <c r="A312" i="4"/>
  <c r="J311" i="4"/>
  <c r="H311" i="4"/>
  <c r="E311" i="4"/>
  <c r="C311" i="4"/>
  <c r="A311" i="4"/>
  <c r="J310" i="4"/>
  <c r="H310" i="4"/>
  <c r="E310" i="4"/>
  <c r="C310" i="4"/>
  <c r="A310" i="4"/>
  <c r="J309" i="4"/>
  <c r="H309" i="4"/>
  <c r="E309" i="4"/>
  <c r="C309" i="4"/>
  <c r="A309" i="4"/>
  <c r="J308" i="4"/>
  <c r="H308" i="4"/>
  <c r="E308" i="4"/>
  <c r="C308" i="4"/>
  <c r="A308" i="4"/>
  <c r="J307" i="4"/>
  <c r="H307" i="4"/>
  <c r="E307" i="4"/>
  <c r="C307" i="4"/>
  <c r="A307" i="4"/>
  <c r="J306" i="4"/>
  <c r="H306" i="4"/>
  <c r="E306" i="4"/>
  <c r="C306" i="4"/>
  <c r="A306" i="4"/>
  <c r="J305" i="4"/>
  <c r="H305" i="4"/>
  <c r="E305" i="4"/>
  <c r="C305" i="4"/>
  <c r="A305" i="4"/>
  <c r="J304" i="4"/>
  <c r="H304" i="4"/>
  <c r="E304" i="4"/>
  <c r="C304" i="4"/>
  <c r="A304" i="4"/>
  <c r="J303" i="4"/>
  <c r="H303" i="4"/>
  <c r="E303" i="4"/>
  <c r="C303" i="4"/>
  <c r="A303" i="4"/>
  <c r="J302" i="4"/>
  <c r="H302" i="4"/>
  <c r="E302" i="4"/>
  <c r="C302" i="4"/>
  <c r="A302" i="4"/>
  <c r="J301" i="4"/>
  <c r="H301" i="4"/>
  <c r="E301" i="4"/>
  <c r="C301" i="4"/>
  <c r="A301" i="4"/>
  <c r="J300" i="4"/>
  <c r="H300" i="4"/>
  <c r="E300" i="4"/>
  <c r="C300" i="4"/>
  <c r="A300" i="4"/>
  <c r="J299" i="4"/>
  <c r="H299" i="4"/>
  <c r="E299" i="4"/>
  <c r="C299" i="4"/>
  <c r="A299" i="4"/>
  <c r="J298" i="4"/>
  <c r="H298" i="4"/>
  <c r="E298" i="4"/>
  <c r="C298" i="4"/>
  <c r="A298" i="4"/>
  <c r="J297" i="4"/>
  <c r="H297" i="4"/>
  <c r="E297" i="4"/>
  <c r="C297" i="4"/>
  <c r="A297" i="4"/>
  <c r="J296" i="4"/>
  <c r="H296" i="4"/>
  <c r="E296" i="4"/>
  <c r="C296" i="4"/>
  <c r="A296" i="4"/>
  <c r="J295" i="4"/>
  <c r="H295" i="4"/>
  <c r="E295" i="4"/>
  <c r="C295" i="4"/>
  <c r="A295" i="4"/>
  <c r="J294" i="4"/>
  <c r="H294" i="4"/>
  <c r="E294" i="4"/>
  <c r="C294" i="4"/>
  <c r="A294" i="4"/>
  <c r="J293" i="4"/>
  <c r="H293" i="4"/>
  <c r="E293" i="4"/>
  <c r="C293" i="4"/>
  <c r="A293" i="4"/>
  <c r="J292" i="4"/>
  <c r="H292" i="4"/>
  <c r="E292" i="4"/>
  <c r="C292" i="4"/>
  <c r="A292" i="4"/>
  <c r="J291" i="4"/>
  <c r="H291" i="4"/>
  <c r="E291" i="4"/>
  <c r="C291" i="4"/>
  <c r="A291" i="4"/>
  <c r="J290" i="4"/>
  <c r="H290" i="4"/>
  <c r="E290" i="4"/>
  <c r="C290" i="4"/>
  <c r="A290" i="4"/>
  <c r="J289" i="4"/>
  <c r="H289" i="4"/>
  <c r="E289" i="4"/>
  <c r="C289" i="4"/>
  <c r="A289" i="4"/>
  <c r="J288" i="4"/>
  <c r="H288" i="4"/>
  <c r="E288" i="4"/>
  <c r="C288" i="4"/>
  <c r="A288" i="4"/>
  <c r="J287" i="4"/>
  <c r="H287" i="4"/>
  <c r="E287" i="4"/>
  <c r="C287" i="4"/>
  <c r="A287" i="4"/>
  <c r="J286" i="4"/>
  <c r="H286" i="4"/>
  <c r="E286" i="4"/>
  <c r="C286" i="4"/>
  <c r="A286" i="4"/>
  <c r="J285" i="4"/>
  <c r="H285" i="4"/>
  <c r="E285" i="4"/>
  <c r="C285" i="4"/>
  <c r="A285" i="4"/>
  <c r="J284" i="4"/>
  <c r="H284" i="4"/>
  <c r="E284" i="4"/>
  <c r="C284" i="4"/>
  <c r="A284" i="4"/>
  <c r="J283" i="4"/>
  <c r="H283" i="4"/>
  <c r="E283" i="4"/>
  <c r="C283" i="4"/>
  <c r="A283" i="4"/>
  <c r="J282" i="4"/>
  <c r="H282" i="4"/>
  <c r="E282" i="4"/>
  <c r="C282" i="4"/>
  <c r="A282" i="4"/>
  <c r="J281" i="4"/>
  <c r="H281" i="4"/>
  <c r="E281" i="4"/>
  <c r="C281" i="4"/>
  <c r="A281" i="4"/>
  <c r="J280" i="4"/>
  <c r="H280" i="4"/>
  <c r="E280" i="4"/>
  <c r="C280" i="4"/>
  <c r="A280" i="4"/>
  <c r="J279" i="4"/>
  <c r="H279" i="4"/>
  <c r="E279" i="4"/>
  <c r="C279" i="4"/>
  <c r="A279" i="4"/>
  <c r="J278" i="4"/>
  <c r="H278" i="4"/>
  <c r="E278" i="4"/>
  <c r="C278" i="4"/>
  <c r="A278" i="4"/>
  <c r="J277" i="4"/>
  <c r="H277" i="4"/>
  <c r="E277" i="4"/>
  <c r="C277" i="4"/>
  <c r="A277" i="4"/>
  <c r="J276" i="4"/>
  <c r="H276" i="4"/>
  <c r="E276" i="4"/>
  <c r="C276" i="4"/>
  <c r="A276" i="4"/>
  <c r="J275" i="4"/>
  <c r="H275" i="4"/>
  <c r="E275" i="4"/>
  <c r="C275" i="4"/>
  <c r="A275" i="4"/>
  <c r="J274" i="4"/>
  <c r="H274" i="4"/>
  <c r="E274" i="4"/>
  <c r="C274" i="4"/>
  <c r="A274" i="4"/>
  <c r="J273" i="4"/>
  <c r="H273" i="4"/>
  <c r="E273" i="4"/>
  <c r="C273" i="4"/>
  <c r="A273" i="4"/>
  <c r="J272" i="4"/>
  <c r="H272" i="4"/>
  <c r="E272" i="4"/>
  <c r="C272" i="4"/>
  <c r="A272" i="4"/>
  <c r="J271" i="4"/>
  <c r="H271" i="4"/>
  <c r="E271" i="4"/>
  <c r="C271" i="4"/>
  <c r="A271" i="4"/>
  <c r="J270" i="4"/>
  <c r="H270" i="4"/>
  <c r="E270" i="4"/>
  <c r="C270" i="4"/>
  <c r="A270" i="4"/>
  <c r="J269" i="4"/>
  <c r="H269" i="4"/>
  <c r="E269" i="4"/>
  <c r="C269" i="4"/>
  <c r="A269" i="4"/>
  <c r="J268" i="4"/>
  <c r="H268" i="4"/>
  <c r="E268" i="4"/>
  <c r="C268" i="4"/>
  <c r="A268" i="4"/>
  <c r="J267" i="4"/>
  <c r="H267" i="4"/>
  <c r="E267" i="4"/>
  <c r="C267" i="4"/>
  <c r="A267" i="4"/>
  <c r="J266" i="4"/>
  <c r="H266" i="4"/>
  <c r="E266" i="4"/>
  <c r="C266" i="4"/>
  <c r="A266" i="4"/>
  <c r="J265" i="4"/>
  <c r="H265" i="4"/>
  <c r="E265" i="4"/>
  <c r="C265" i="4"/>
  <c r="A265" i="4"/>
  <c r="J264" i="4"/>
  <c r="H264" i="4"/>
  <c r="E264" i="4"/>
  <c r="C264" i="4"/>
  <c r="A264" i="4"/>
  <c r="J263" i="4"/>
  <c r="H263" i="4"/>
  <c r="E263" i="4"/>
  <c r="C263" i="4"/>
  <c r="A263" i="4"/>
  <c r="J262" i="4"/>
  <c r="H262" i="4"/>
  <c r="E262" i="4"/>
  <c r="C262" i="4"/>
  <c r="A262" i="4"/>
  <c r="J261" i="4"/>
  <c r="H261" i="4"/>
  <c r="E261" i="4"/>
  <c r="C261" i="4"/>
  <c r="A261" i="4"/>
  <c r="J260" i="4"/>
  <c r="H260" i="4"/>
  <c r="E260" i="4"/>
  <c r="C260" i="4"/>
  <c r="A260" i="4"/>
  <c r="J259" i="4"/>
  <c r="H259" i="4"/>
  <c r="E259" i="4"/>
  <c r="C259" i="4"/>
  <c r="A259" i="4"/>
  <c r="J258" i="4"/>
  <c r="H258" i="4"/>
  <c r="E258" i="4"/>
  <c r="C258" i="4"/>
  <c r="A258" i="4"/>
  <c r="J257" i="4"/>
  <c r="H257" i="4"/>
  <c r="E257" i="4"/>
  <c r="C257" i="4"/>
  <c r="A257" i="4"/>
  <c r="J256" i="4"/>
  <c r="H256" i="4"/>
  <c r="E256" i="4"/>
  <c r="C256" i="4"/>
  <c r="A256" i="4"/>
  <c r="J255" i="4"/>
  <c r="H255" i="4"/>
  <c r="E255" i="4"/>
  <c r="C255" i="4"/>
  <c r="A255" i="4"/>
  <c r="J254" i="4"/>
  <c r="H254" i="4"/>
  <c r="E254" i="4"/>
  <c r="C254" i="4"/>
  <c r="A254" i="4"/>
  <c r="J253" i="4"/>
  <c r="H253" i="4"/>
  <c r="E253" i="4"/>
  <c r="C253" i="4"/>
  <c r="A253" i="4"/>
  <c r="J252" i="4"/>
  <c r="H252" i="4"/>
  <c r="E252" i="4"/>
  <c r="C252" i="4"/>
  <c r="A252" i="4"/>
  <c r="J251" i="4"/>
  <c r="H251" i="4"/>
  <c r="E251" i="4"/>
  <c r="C251" i="4"/>
  <c r="A251" i="4"/>
  <c r="J250" i="4"/>
  <c r="H250" i="4"/>
  <c r="E250" i="4"/>
  <c r="C250" i="4"/>
  <c r="A250" i="4"/>
  <c r="J249" i="4"/>
  <c r="H249" i="4"/>
  <c r="E249" i="4"/>
  <c r="C249" i="4"/>
  <c r="A249" i="4"/>
  <c r="J248" i="4"/>
  <c r="H248" i="4"/>
  <c r="E248" i="4"/>
  <c r="C248" i="4"/>
  <c r="A248" i="4"/>
  <c r="J247" i="4"/>
  <c r="H247" i="4"/>
  <c r="E247" i="4"/>
  <c r="C247" i="4"/>
  <c r="A247" i="4"/>
  <c r="J246" i="4"/>
  <c r="H246" i="4"/>
  <c r="E246" i="4"/>
  <c r="C246" i="4"/>
  <c r="A246" i="4"/>
  <c r="J245" i="4"/>
  <c r="H245" i="4"/>
  <c r="E245" i="4"/>
  <c r="C245" i="4"/>
  <c r="A245" i="4"/>
  <c r="J244" i="4"/>
  <c r="H244" i="4"/>
  <c r="E244" i="4"/>
  <c r="C244" i="4"/>
  <c r="A244" i="4"/>
  <c r="J243" i="4"/>
  <c r="H243" i="4"/>
  <c r="E243" i="4"/>
  <c r="C243" i="4"/>
  <c r="A243" i="4"/>
  <c r="J242" i="4"/>
  <c r="H242" i="4"/>
  <c r="E242" i="4"/>
  <c r="C242" i="4"/>
  <c r="A242" i="4"/>
  <c r="J241" i="4"/>
  <c r="H241" i="4"/>
  <c r="E241" i="4"/>
  <c r="C241" i="4"/>
  <c r="A241" i="4"/>
  <c r="J240" i="4"/>
  <c r="H240" i="4"/>
  <c r="E240" i="4"/>
  <c r="C240" i="4"/>
  <c r="A240" i="4"/>
  <c r="J239" i="4"/>
  <c r="H239" i="4"/>
  <c r="E239" i="4"/>
  <c r="C239" i="4"/>
  <c r="A239" i="4"/>
  <c r="J238" i="4"/>
  <c r="H238" i="4"/>
  <c r="E238" i="4"/>
  <c r="C238" i="4"/>
  <c r="A238" i="4"/>
  <c r="J237" i="4"/>
  <c r="H237" i="4"/>
  <c r="E237" i="4"/>
  <c r="C237" i="4"/>
  <c r="A237" i="4"/>
  <c r="J236" i="4"/>
  <c r="H236" i="4"/>
  <c r="E236" i="4"/>
  <c r="C236" i="4"/>
  <c r="A236" i="4"/>
  <c r="J235" i="4"/>
  <c r="H235" i="4"/>
  <c r="E235" i="4"/>
  <c r="C235" i="4"/>
  <c r="A235" i="4"/>
  <c r="J234" i="4"/>
  <c r="H234" i="4"/>
  <c r="E234" i="4"/>
  <c r="C234" i="4"/>
  <c r="A234" i="4"/>
  <c r="J233" i="4"/>
  <c r="H233" i="4"/>
  <c r="E233" i="4"/>
  <c r="C233" i="4"/>
  <c r="A233" i="4"/>
  <c r="J232" i="4"/>
  <c r="H232" i="4"/>
  <c r="E232" i="4"/>
  <c r="C232" i="4"/>
  <c r="A232" i="4"/>
  <c r="J231" i="4"/>
  <c r="H231" i="4"/>
  <c r="E231" i="4"/>
  <c r="C231" i="4"/>
  <c r="A231" i="4"/>
  <c r="J230" i="4"/>
  <c r="H230" i="4"/>
  <c r="E230" i="4"/>
  <c r="C230" i="4"/>
  <c r="A230" i="4"/>
  <c r="J229" i="4"/>
  <c r="H229" i="4"/>
  <c r="E229" i="4"/>
  <c r="C229" i="4"/>
  <c r="A229" i="4"/>
  <c r="J228" i="4"/>
  <c r="H228" i="4"/>
  <c r="E228" i="4"/>
  <c r="C228" i="4"/>
  <c r="A228" i="4"/>
  <c r="J227" i="4"/>
  <c r="H227" i="4"/>
  <c r="E227" i="4"/>
  <c r="C227" i="4"/>
  <c r="A227" i="4"/>
  <c r="J226" i="4"/>
  <c r="H226" i="4"/>
  <c r="E226" i="4"/>
  <c r="C226" i="4"/>
  <c r="A226" i="4"/>
  <c r="J225" i="4"/>
  <c r="H225" i="4"/>
  <c r="E225" i="4"/>
  <c r="C225" i="4"/>
  <c r="A225" i="4"/>
  <c r="J224" i="4"/>
  <c r="H224" i="4"/>
  <c r="E224" i="4"/>
  <c r="C224" i="4"/>
  <c r="A224" i="4"/>
  <c r="J223" i="4"/>
  <c r="H223" i="4"/>
  <c r="E223" i="4"/>
  <c r="C223" i="4"/>
  <c r="A223" i="4"/>
  <c r="J222" i="4"/>
  <c r="H222" i="4"/>
  <c r="E222" i="4"/>
  <c r="C222" i="4"/>
  <c r="A222" i="4"/>
  <c r="J221" i="4"/>
  <c r="H221" i="4"/>
  <c r="E221" i="4"/>
  <c r="C221" i="4"/>
  <c r="A221" i="4"/>
  <c r="J220" i="4"/>
  <c r="H220" i="4"/>
  <c r="E220" i="4"/>
  <c r="C220" i="4"/>
  <c r="A220" i="4"/>
  <c r="J219" i="4"/>
  <c r="H219" i="4"/>
  <c r="E219" i="4"/>
  <c r="C219" i="4"/>
  <c r="A219" i="4"/>
  <c r="J218" i="4"/>
  <c r="H218" i="4"/>
  <c r="E218" i="4"/>
  <c r="C218" i="4"/>
  <c r="A218" i="4"/>
  <c r="J217" i="4"/>
  <c r="H217" i="4"/>
  <c r="E217" i="4"/>
  <c r="C217" i="4"/>
  <c r="A217" i="4"/>
  <c r="J216" i="4"/>
  <c r="H216" i="4"/>
  <c r="E216" i="4"/>
  <c r="C216" i="4"/>
  <c r="A216" i="4"/>
  <c r="J215" i="4"/>
  <c r="H215" i="4"/>
  <c r="E215" i="4"/>
  <c r="C215" i="4"/>
  <c r="A215" i="4"/>
  <c r="J214" i="4"/>
  <c r="H214" i="4"/>
  <c r="E214" i="4"/>
  <c r="C214" i="4"/>
  <c r="A214" i="4"/>
  <c r="J213" i="4"/>
  <c r="H213" i="4"/>
  <c r="E213" i="4"/>
  <c r="C213" i="4"/>
  <c r="A213" i="4"/>
  <c r="J212" i="4"/>
  <c r="H212" i="4"/>
  <c r="E212" i="4"/>
  <c r="C212" i="4"/>
  <c r="A212" i="4"/>
  <c r="J211" i="4"/>
  <c r="H211" i="4"/>
  <c r="E211" i="4"/>
  <c r="C211" i="4"/>
  <c r="A211" i="4"/>
  <c r="J210" i="4"/>
  <c r="H210" i="4"/>
  <c r="E210" i="4"/>
  <c r="C210" i="4"/>
  <c r="A210" i="4"/>
  <c r="J209" i="4"/>
  <c r="H209" i="4"/>
  <c r="E209" i="4"/>
  <c r="C209" i="4"/>
  <c r="A209" i="4"/>
  <c r="J208" i="4"/>
  <c r="H208" i="4"/>
  <c r="E208" i="4"/>
  <c r="C208" i="4"/>
  <c r="A208" i="4"/>
  <c r="J207" i="4"/>
  <c r="H207" i="4"/>
  <c r="E207" i="4"/>
  <c r="C207" i="4"/>
  <c r="A207" i="4"/>
  <c r="J206" i="4"/>
  <c r="H206" i="4"/>
  <c r="E206" i="4"/>
  <c r="C206" i="4"/>
  <c r="A206" i="4"/>
  <c r="J205" i="4"/>
  <c r="H205" i="4"/>
  <c r="E205" i="4"/>
  <c r="C205" i="4"/>
  <c r="A205" i="4"/>
  <c r="J204" i="4"/>
  <c r="H204" i="4"/>
  <c r="E204" i="4"/>
  <c r="C204" i="4"/>
  <c r="A204" i="4"/>
  <c r="J203" i="4"/>
  <c r="H203" i="4"/>
  <c r="E203" i="4"/>
  <c r="C203" i="4"/>
  <c r="A203" i="4"/>
  <c r="J202" i="4"/>
  <c r="H202" i="4"/>
  <c r="E202" i="4"/>
  <c r="C202" i="4"/>
  <c r="A202" i="4"/>
  <c r="J201" i="4"/>
  <c r="H201" i="4"/>
  <c r="E201" i="4"/>
  <c r="C201" i="4"/>
  <c r="A201" i="4"/>
  <c r="J200" i="4"/>
  <c r="H200" i="4"/>
  <c r="E200" i="4"/>
  <c r="C200" i="4"/>
  <c r="A200" i="4"/>
  <c r="J199" i="4"/>
  <c r="H199" i="4"/>
  <c r="E199" i="4"/>
  <c r="C199" i="4"/>
  <c r="A199" i="4"/>
  <c r="J198" i="4"/>
  <c r="H198" i="4"/>
  <c r="E198" i="4"/>
  <c r="C198" i="4"/>
  <c r="A198" i="4"/>
  <c r="J197" i="4"/>
  <c r="H197" i="4"/>
  <c r="E197" i="4"/>
  <c r="C197" i="4"/>
  <c r="A197" i="4"/>
  <c r="J196" i="4"/>
  <c r="H196" i="4"/>
  <c r="E196" i="4"/>
  <c r="C196" i="4"/>
  <c r="A196" i="4"/>
  <c r="J195" i="4"/>
  <c r="H195" i="4"/>
  <c r="E195" i="4"/>
  <c r="C195" i="4"/>
  <c r="A195" i="4"/>
  <c r="J194" i="4"/>
  <c r="H194" i="4"/>
  <c r="E194" i="4"/>
  <c r="C194" i="4"/>
  <c r="A194" i="4"/>
  <c r="J193" i="4"/>
  <c r="H193" i="4"/>
  <c r="E193" i="4"/>
  <c r="C193" i="4"/>
  <c r="A193" i="4"/>
  <c r="J192" i="4"/>
  <c r="H192" i="4"/>
  <c r="E192" i="4"/>
  <c r="C192" i="4"/>
  <c r="A192" i="4"/>
  <c r="J191" i="4"/>
  <c r="H191" i="4"/>
  <c r="E191" i="4"/>
  <c r="C191" i="4"/>
  <c r="A191" i="4"/>
  <c r="J190" i="4"/>
  <c r="H190" i="4"/>
  <c r="E190" i="4"/>
  <c r="C190" i="4"/>
  <c r="A190" i="4"/>
  <c r="J189" i="4"/>
  <c r="H189" i="4"/>
  <c r="E189" i="4"/>
  <c r="C189" i="4"/>
  <c r="A189" i="4"/>
  <c r="J188" i="4"/>
  <c r="H188" i="4"/>
  <c r="E188" i="4"/>
  <c r="C188" i="4"/>
  <c r="A188" i="4"/>
  <c r="J187" i="4"/>
  <c r="H187" i="4"/>
  <c r="E187" i="4"/>
  <c r="C187" i="4"/>
  <c r="A187" i="4"/>
  <c r="J186" i="4"/>
  <c r="H186" i="4"/>
  <c r="E186" i="4"/>
  <c r="C186" i="4"/>
  <c r="A186" i="4"/>
  <c r="J185" i="4"/>
  <c r="H185" i="4"/>
  <c r="E185" i="4"/>
  <c r="C185" i="4"/>
  <c r="A185" i="4"/>
  <c r="J184" i="4"/>
  <c r="H184" i="4"/>
  <c r="E184" i="4"/>
  <c r="C184" i="4"/>
  <c r="A184" i="4"/>
  <c r="J183" i="4"/>
  <c r="H183" i="4"/>
  <c r="E183" i="4"/>
  <c r="C183" i="4"/>
  <c r="A183" i="4"/>
  <c r="J182" i="4"/>
  <c r="H182" i="4"/>
  <c r="E182" i="4"/>
  <c r="C182" i="4"/>
  <c r="A182" i="4"/>
  <c r="J181" i="4"/>
  <c r="H181" i="4"/>
  <c r="E181" i="4"/>
  <c r="C181" i="4"/>
  <c r="A181" i="4"/>
  <c r="J180" i="4"/>
  <c r="H180" i="4"/>
  <c r="E180" i="4"/>
  <c r="C180" i="4"/>
  <c r="A180" i="4"/>
  <c r="J179" i="4"/>
  <c r="H179" i="4"/>
  <c r="E179" i="4"/>
  <c r="C179" i="4"/>
  <c r="A179" i="4"/>
  <c r="J178" i="4"/>
  <c r="H178" i="4"/>
  <c r="E178" i="4"/>
  <c r="C178" i="4"/>
  <c r="A178" i="4"/>
  <c r="J177" i="4"/>
  <c r="H177" i="4"/>
  <c r="E177" i="4"/>
  <c r="C177" i="4"/>
  <c r="A177" i="4"/>
  <c r="J176" i="4"/>
  <c r="H176" i="4"/>
  <c r="E176" i="4"/>
  <c r="C176" i="4"/>
  <c r="A176" i="4"/>
  <c r="J175" i="4"/>
  <c r="H175" i="4"/>
  <c r="E175" i="4"/>
  <c r="C175" i="4"/>
  <c r="A175" i="4"/>
  <c r="J174" i="4"/>
  <c r="H174" i="4"/>
  <c r="E174" i="4"/>
  <c r="C174" i="4"/>
  <c r="A174" i="4"/>
  <c r="J173" i="4"/>
  <c r="H173" i="4"/>
  <c r="E173" i="4"/>
  <c r="C173" i="4"/>
  <c r="A173" i="4"/>
  <c r="J172" i="4"/>
  <c r="H172" i="4"/>
  <c r="E172" i="4"/>
  <c r="C172" i="4"/>
  <c r="A172" i="4"/>
  <c r="J171" i="4"/>
  <c r="H171" i="4"/>
  <c r="E171" i="4"/>
  <c r="C171" i="4"/>
  <c r="A171" i="4"/>
  <c r="J170" i="4"/>
  <c r="H170" i="4"/>
  <c r="E170" i="4"/>
  <c r="C170" i="4"/>
  <c r="A170" i="4"/>
  <c r="J169" i="4"/>
  <c r="H169" i="4"/>
  <c r="E169" i="4"/>
  <c r="C169" i="4"/>
  <c r="A169" i="4"/>
  <c r="J168" i="4"/>
  <c r="H168" i="4"/>
  <c r="E168" i="4"/>
  <c r="C168" i="4"/>
  <c r="A168" i="4"/>
  <c r="J167" i="4"/>
  <c r="H167" i="4"/>
  <c r="E167" i="4"/>
  <c r="C167" i="4"/>
  <c r="A167" i="4"/>
  <c r="J166" i="4"/>
  <c r="H166" i="4"/>
  <c r="E166" i="4"/>
  <c r="C166" i="4"/>
  <c r="A166" i="4"/>
  <c r="J165" i="4"/>
  <c r="H165" i="4"/>
  <c r="E165" i="4"/>
  <c r="C165" i="4"/>
  <c r="A165" i="4"/>
  <c r="J164" i="4"/>
  <c r="H164" i="4"/>
  <c r="E164" i="4"/>
  <c r="C164" i="4"/>
  <c r="A164" i="4"/>
  <c r="J163" i="4"/>
  <c r="H163" i="4"/>
  <c r="E163" i="4"/>
  <c r="C163" i="4"/>
  <c r="A163" i="4"/>
  <c r="J162" i="4"/>
  <c r="H162" i="4"/>
  <c r="E162" i="4"/>
  <c r="C162" i="4"/>
  <c r="A162" i="4"/>
  <c r="J161" i="4"/>
  <c r="H161" i="4"/>
  <c r="E161" i="4"/>
  <c r="C161" i="4"/>
  <c r="A161" i="4"/>
  <c r="J160" i="4"/>
  <c r="H160" i="4"/>
  <c r="E160" i="4"/>
  <c r="C160" i="4"/>
  <c r="A160" i="4"/>
  <c r="J159" i="4"/>
  <c r="H159" i="4"/>
  <c r="E159" i="4"/>
  <c r="C159" i="4"/>
  <c r="A159" i="4"/>
  <c r="J158" i="4"/>
  <c r="H158" i="4"/>
  <c r="E158" i="4"/>
  <c r="C158" i="4"/>
  <c r="A158" i="4"/>
  <c r="J157" i="4"/>
  <c r="H157" i="4"/>
  <c r="E157" i="4"/>
  <c r="C157" i="4"/>
  <c r="A157" i="4"/>
  <c r="J156" i="4"/>
  <c r="H156" i="4"/>
  <c r="E156" i="4"/>
  <c r="C156" i="4"/>
  <c r="A156" i="4"/>
  <c r="J155" i="4"/>
  <c r="H155" i="4"/>
  <c r="E155" i="4"/>
  <c r="C155" i="4"/>
  <c r="A155" i="4"/>
  <c r="J154" i="4"/>
  <c r="H154" i="4"/>
  <c r="E154" i="4"/>
  <c r="C154" i="4"/>
  <c r="A154" i="4"/>
  <c r="J153" i="4"/>
  <c r="H153" i="4"/>
  <c r="E153" i="4"/>
  <c r="C153" i="4"/>
  <c r="A153" i="4"/>
  <c r="J152" i="4"/>
  <c r="H152" i="4"/>
  <c r="E152" i="4"/>
  <c r="C152" i="4"/>
  <c r="A152" i="4"/>
  <c r="J151" i="4"/>
  <c r="H151" i="4"/>
  <c r="E151" i="4"/>
  <c r="C151" i="4"/>
  <c r="A151" i="4"/>
  <c r="J150" i="4"/>
  <c r="H150" i="4"/>
  <c r="E150" i="4"/>
  <c r="C150" i="4"/>
  <c r="A150" i="4"/>
  <c r="J149" i="4"/>
  <c r="H149" i="4"/>
  <c r="E149" i="4"/>
  <c r="C149" i="4"/>
  <c r="A149" i="4"/>
  <c r="J148" i="4"/>
  <c r="H148" i="4"/>
  <c r="E148" i="4"/>
  <c r="C148" i="4"/>
  <c r="A148" i="4"/>
  <c r="J147" i="4"/>
  <c r="H147" i="4"/>
  <c r="E147" i="4"/>
  <c r="C147" i="4"/>
  <c r="A147" i="4"/>
  <c r="J146" i="4"/>
  <c r="H146" i="4"/>
  <c r="E146" i="4"/>
  <c r="C146" i="4"/>
  <c r="A146" i="4"/>
  <c r="J145" i="4"/>
  <c r="H145" i="4"/>
  <c r="E145" i="4"/>
  <c r="C145" i="4"/>
  <c r="A145" i="4"/>
  <c r="J144" i="4"/>
  <c r="H144" i="4"/>
  <c r="E144" i="4"/>
  <c r="C144" i="4"/>
  <c r="A144" i="4"/>
  <c r="J143" i="4"/>
  <c r="H143" i="4"/>
  <c r="E143" i="4"/>
  <c r="C143" i="4"/>
  <c r="A143" i="4"/>
  <c r="J142" i="4"/>
  <c r="H142" i="4"/>
  <c r="E142" i="4"/>
  <c r="C142" i="4"/>
  <c r="A142" i="4"/>
  <c r="J141" i="4"/>
  <c r="H141" i="4"/>
  <c r="E141" i="4"/>
  <c r="C141" i="4"/>
  <c r="A141" i="4"/>
  <c r="J140" i="4"/>
  <c r="H140" i="4"/>
  <c r="E140" i="4"/>
  <c r="C140" i="4"/>
  <c r="A140" i="4"/>
  <c r="J139" i="4"/>
  <c r="H139" i="4"/>
  <c r="E139" i="4"/>
  <c r="C139" i="4"/>
  <c r="A139" i="4"/>
  <c r="J138" i="4"/>
  <c r="H138" i="4"/>
  <c r="E138" i="4"/>
  <c r="C138" i="4"/>
  <c r="A138" i="4"/>
  <c r="J137" i="4"/>
  <c r="H137" i="4"/>
  <c r="E137" i="4"/>
  <c r="C137" i="4"/>
  <c r="A137" i="4"/>
  <c r="J136" i="4"/>
  <c r="H136" i="4"/>
  <c r="E136" i="4"/>
  <c r="C136" i="4"/>
  <c r="A136" i="4"/>
  <c r="J135" i="4"/>
  <c r="H135" i="4"/>
  <c r="E135" i="4"/>
  <c r="C135" i="4"/>
  <c r="A135" i="4"/>
  <c r="J134" i="4"/>
  <c r="H134" i="4"/>
  <c r="E134" i="4"/>
  <c r="C134" i="4"/>
  <c r="A134" i="4"/>
  <c r="J133" i="4"/>
  <c r="H133" i="4"/>
  <c r="E133" i="4"/>
  <c r="C133" i="4"/>
  <c r="A133" i="4"/>
  <c r="J132" i="4"/>
  <c r="H132" i="4"/>
  <c r="E132" i="4"/>
  <c r="C132" i="4"/>
  <c r="A132" i="4"/>
  <c r="J131" i="4"/>
  <c r="H131" i="4"/>
  <c r="E131" i="4"/>
  <c r="C131" i="4"/>
  <c r="A131" i="4"/>
  <c r="J130" i="4"/>
  <c r="H130" i="4"/>
  <c r="E130" i="4"/>
  <c r="C130" i="4"/>
  <c r="A130" i="4"/>
  <c r="J129" i="4"/>
  <c r="H129" i="4"/>
  <c r="E129" i="4"/>
  <c r="C129" i="4"/>
  <c r="A129" i="4"/>
  <c r="J128" i="4"/>
  <c r="H128" i="4"/>
  <c r="E128" i="4"/>
  <c r="C128" i="4"/>
  <c r="A128" i="4"/>
  <c r="J127" i="4"/>
  <c r="H127" i="4"/>
  <c r="E127" i="4"/>
  <c r="C127" i="4"/>
  <c r="A127" i="4"/>
  <c r="J126" i="4"/>
  <c r="H126" i="4"/>
  <c r="E126" i="4"/>
  <c r="C126" i="4"/>
  <c r="A126" i="4"/>
  <c r="J125" i="4"/>
  <c r="H125" i="4"/>
  <c r="E125" i="4"/>
  <c r="C125" i="4"/>
  <c r="A125" i="4"/>
  <c r="J124" i="4"/>
  <c r="H124" i="4"/>
  <c r="E124" i="4"/>
  <c r="C124" i="4"/>
  <c r="A124" i="4"/>
  <c r="J123" i="4"/>
  <c r="H123" i="4"/>
  <c r="E123" i="4"/>
  <c r="C123" i="4"/>
  <c r="A123" i="4"/>
  <c r="J122" i="4"/>
  <c r="H122" i="4"/>
  <c r="E122" i="4"/>
  <c r="C122" i="4"/>
  <c r="A122" i="4"/>
  <c r="J121" i="4"/>
  <c r="H121" i="4"/>
  <c r="E121" i="4"/>
  <c r="C121" i="4"/>
  <c r="A121" i="4"/>
  <c r="J120" i="4"/>
  <c r="H120" i="4"/>
  <c r="E120" i="4"/>
  <c r="C120" i="4"/>
  <c r="A120" i="4"/>
  <c r="J119" i="4"/>
  <c r="H119" i="4"/>
  <c r="E119" i="4"/>
  <c r="C119" i="4"/>
  <c r="A119" i="4"/>
  <c r="J118" i="4"/>
  <c r="H118" i="4"/>
  <c r="E118" i="4"/>
  <c r="C118" i="4"/>
  <c r="A118" i="4"/>
  <c r="J117" i="4"/>
  <c r="H117" i="4"/>
  <c r="E117" i="4"/>
  <c r="C117" i="4"/>
  <c r="A117" i="4"/>
  <c r="J116" i="4"/>
  <c r="H116" i="4"/>
  <c r="E116" i="4"/>
  <c r="C116" i="4"/>
  <c r="A116" i="4"/>
  <c r="J115" i="4"/>
  <c r="H115" i="4"/>
  <c r="E115" i="4"/>
  <c r="C115" i="4"/>
  <c r="A115" i="4"/>
  <c r="J114" i="4"/>
  <c r="H114" i="4"/>
  <c r="E114" i="4"/>
  <c r="C114" i="4"/>
  <c r="A114" i="4"/>
  <c r="J113" i="4"/>
  <c r="H113" i="4"/>
  <c r="E113" i="4"/>
  <c r="C113" i="4"/>
  <c r="A113" i="4"/>
  <c r="J112" i="4"/>
  <c r="H112" i="4"/>
  <c r="E112" i="4"/>
  <c r="C112" i="4"/>
  <c r="A112" i="4"/>
  <c r="J111" i="4"/>
  <c r="H111" i="4"/>
  <c r="E111" i="4"/>
  <c r="C111" i="4"/>
  <c r="A111" i="4"/>
  <c r="J110" i="4"/>
  <c r="H110" i="4"/>
  <c r="E110" i="4"/>
  <c r="C110" i="4"/>
  <c r="A110" i="4"/>
  <c r="J109" i="4"/>
  <c r="H109" i="4"/>
  <c r="E109" i="4"/>
  <c r="C109" i="4"/>
  <c r="A109" i="4"/>
  <c r="J108" i="4"/>
  <c r="H108" i="4"/>
  <c r="E108" i="4"/>
  <c r="C108" i="4"/>
  <c r="A108" i="4"/>
  <c r="J107" i="4"/>
  <c r="H107" i="4"/>
  <c r="E107" i="4"/>
  <c r="C107" i="4"/>
  <c r="A107" i="4"/>
  <c r="J106" i="4"/>
  <c r="H106" i="4"/>
  <c r="E106" i="4"/>
  <c r="C106" i="4"/>
  <c r="A106" i="4"/>
  <c r="J105" i="4"/>
  <c r="H105" i="4"/>
  <c r="E105" i="4"/>
  <c r="C105" i="4"/>
  <c r="A105" i="4"/>
  <c r="J104" i="4"/>
  <c r="H104" i="4"/>
  <c r="E104" i="4"/>
  <c r="C104" i="4"/>
  <c r="A104" i="4"/>
  <c r="J103" i="4"/>
  <c r="H103" i="4"/>
  <c r="E103" i="4"/>
  <c r="C103" i="4"/>
  <c r="A103" i="4"/>
  <c r="J102" i="4"/>
  <c r="H102" i="4"/>
  <c r="E102" i="4"/>
  <c r="C102" i="4"/>
  <c r="A102" i="4"/>
  <c r="J101" i="4"/>
  <c r="H101" i="4"/>
  <c r="E101" i="4"/>
  <c r="C101" i="4"/>
  <c r="A101" i="4"/>
  <c r="J100" i="4"/>
  <c r="H100" i="4"/>
  <c r="E100" i="4"/>
  <c r="C100" i="4"/>
  <c r="A100" i="4"/>
  <c r="J99" i="4"/>
  <c r="H99" i="4"/>
  <c r="E99" i="4"/>
  <c r="C99" i="4"/>
  <c r="A99" i="4"/>
  <c r="J98" i="4"/>
  <c r="H98" i="4"/>
  <c r="E98" i="4"/>
  <c r="C98" i="4"/>
  <c r="A98" i="4"/>
  <c r="J97" i="4"/>
  <c r="H97" i="4"/>
  <c r="E97" i="4"/>
  <c r="C97" i="4"/>
  <c r="A97" i="4"/>
  <c r="J96" i="4"/>
  <c r="H96" i="4"/>
  <c r="E96" i="4"/>
  <c r="C96" i="4"/>
  <c r="A96" i="4"/>
  <c r="J95" i="4"/>
  <c r="H95" i="4"/>
  <c r="E95" i="4"/>
  <c r="C95" i="4"/>
  <c r="A95" i="4"/>
  <c r="J94" i="4"/>
  <c r="H94" i="4"/>
  <c r="E94" i="4"/>
  <c r="C94" i="4"/>
  <c r="A94" i="4"/>
  <c r="J93" i="4"/>
  <c r="H93" i="4"/>
  <c r="E93" i="4"/>
  <c r="C93" i="4"/>
  <c r="A93" i="4"/>
  <c r="J92" i="4"/>
  <c r="H92" i="4"/>
  <c r="E92" i="4"/>
  <c r="C92" i="4"/>
  <c r="A92" i="4"/>
  <c r="J91" i="4"/>
  <c r="H91" i="4"/>
  <c r="E91" i="4"/>
  <c r="C91" i="4"/>
  <c r="A91" i="4"/>
  <c r="J90" i="4"/>
  <c r="H90" i="4"/>
  <c r="E90" i="4"/>
  <c r="C90" i="4"/>
  <c r="A90" i="4"/>
  <c r="J89" i="4"/>
  <c r="H89" i="4"/>
  <c r="E89" i="4"/>
  <c r="C89" i="4"/>
  <c r="A89" i="4"/>
  <c r="J88" i="4"/>
  <c r="H88" i="4"/>
  <c r="E88" i="4"/>
  <c r="C88" i="4"/>
  <c r="A88" i="4"/>
  <c r="J87" i="4"/>
  <c r="H87" i="4"/>
  <c r="E87" i="4"/>
  <c r="C87" i="4"/>
  <c r="A87" i="4"/>
  <c r="J86" i="4"/>
  <c r="H86" i="4"/>
  <c r="E86" i="4"/>
  <c r="C86" i="4"/>
  <c r="A86" i="4"/>
  <c r="J85" i="4"/>
  <c r="H85" i="4"/>
  <c r="E85" i="4"/>
  <c r="C85" i="4"/>
  <c r="A85" i="4"/>
  <c r="J84" i="4"/>
  <c r="H84" i="4"/>
  <c r="E84" i="4"/>
  <c r="C84" i="4"/>
  <c r="A84" i="4"/>
  <c r="J83" i="4"/>
  <c r="H83" i="4"/>
  <c r="E83" i="4"/>
  <c r="C83" i="4"/>
  <c r="A83" i="4"/>
  <c r="J82" i="4"/>
  <c r="H82" i="4"/>
  <c r="E82" i="4"/>
  <c r="C82" i="4"/>
  <c r="A82" i="4"/>
  <c r="J81" i="4"/>
  <c r="H81" i="4"/>
  <c r="E81" i="4"/>
  <c r="C81" i="4"/>
  <c r="A81" i="4"/>
  <c r="J80" i="4"/>
  <c r="H80" i="4"/>
  <c r="E80" i="4"/>
  <c r="C80" i="4"/>
  <c r="A80" i="4"/>
  <c r="J79" i="4"/>
  <c r="H79" i="4"/>
  <c r="E79" i="4"/>
  <c r="C79" i="4"/>
  <c r="A79" i="4"/>
  <c r="J78" i="4"/>
  <c r="H78" i="4"/>
  <c r="E78" i="4"/>
  <c r="C78" i="4"/>
  <c r="A78" i="4"/>
  <c r="J77" i="4"/>
  <c r="H77" i="4"/>
  <c r="E77" i="4"/>
  <c r="C77" i="4"/>
  <c r="A77" i="4"/>
  <c r="J76" i="4"/>
  <c r="H76" i="4"/>
  <c r="E76" i="4"/>
  <c r="C76" i="4"/>
  <c r="A76" i="4"/>
  <c r="J75" i="4"/>
  <c r="H75" i="4"/>
  <c r="E75" i="4"/>
  <c r="C75" i="4"/>
  <c r="A75" i="4"/>
  <c r="J74" i="4"/>
  <c r="H74" i="4"/>
  <c r="E74" i="4"/>
  <c r="C74" i="4"/>
  <c r="A74" i="4"/>
  <c r="J73" i="4"/>
  <c r="H73" i="4"/>
  <c r="E73" i="4"/>
  <c r="C73" i="4"/>
  <c r="A73" i="4"/>
  <c r="J72" i="4"/>
  <c r="H72" i="4"/>
  <c r="E72" i="4"/>
  <c r="C72" i="4"/>
  <c r="A72" i="4"/>
  <c r="J71" i="4"/>
  <c r="H71" i="4"/>
  <c r="E71" i="4"/>
  <c r="C71" i="4"/>
  <c r="A71" i="4"/>
  <c r="J70" i="4"/>
  <c r="H70" i="4"/>
  <c r="E70" i="4"/>
  <c r="C70" i="4"/>
  <c r="A70" i="4"/>
  <c r="J69" i="4"/>
  <c r="H69" i="4"/>
  <c r="E69" i="4"/>
  <c r="C69" i="4"/>
  <c r="A69" i="4"/>
  <c r="J68" i="4"/>
  <c r="H68" i="4"/>
  <c r="E68" i="4"/>
  <c r="C68" i="4"/>
  <c r="A68" i="4"/>
  <c r="J67" i="4"/>
  <c r="H67" i="4"/>
  <c r="E67" i="4"/>
  <c r="C67" i="4"/>
  <c r="A67" i="4"/>
  <c r="J66" i="4"/>
  <c r="H66" i="4"/>
  <c r="E66" i="4"/>
  <c r="C66" i="4"/>
  <c r="A66" i="4"/>
  <c r="J65" i="4"/>
  <c r="H65" i="4"/>
  <c r="E65" i="4"/>
  <c r="C65" i="4"/>
  <c r="A65" i="4"/>
  <c r="J64" i="4"/>
  <c r="H64" i="4"/>
  <c r="E64" i="4"/>
  <c r="C64" i="4"/>
  <c r="A64" i="4"/>
  <c r="J63" i="4"/>
  <c r="H63" i="4"/>
  <c r="E63" i="4"/>
  <c r="C63" i="4"/>
  <c r="A63" i="4"/>
  <c r="J62" i="4"/>
  <c r="H62" i="4"/>
  <c r="E62" i="4"/>
  <c r="C62" i="4"/>
  <c r="A62" i="4"/>
  <c r="J61" i="4"/>
  <c r="H61" i="4"/>
  <c r="E61" i="4"/>
  <c r="C61" i="4"/>
  <c r="A61" i="4"/>
  <c r="J60" i="4"/>
  <c r="H60" i="4"/>
  <c r="E60" i="4"/>
  <c r="C60" i="4"/>
  <c r="A60" i="4"/>
  <c r="J59" i="4"/>
  <c r="H59" i="4"/>
  <c r="E59" i="4"/>
  <c r="C59" i="4"/>
  <c r="A59" i="4"/>
  <c r="J58" i="4"/>
  <c r="H58" i="4"/>
  <c r="E58" i="4"/>
  <c r="C58" i="4"/>
  <c r="A58" i="4"/>
  <c r="J57" i="4"/>
  <c r="H57" i="4"/>
  <c r="E57" i="4"/>
  <c r="C57" i="4"/>
  <c r="A57" i="4"/>
  <c r="J56" i="4"/>
  <c r="H56" i="4"/>
  <c r="E56" i="4"/>
  <c r="C56" i="4"/>
  <c r="A56" i="4"/>
  <c r="J55" i="4"/>
  <c r="H55" i="4"/>
  <c r="E55" i="4"/>
  <c r="C55" i="4"/>
  <c r="A55" i="4"/>
  <c r="J54" i="4"/>
  <c r="H54" i="4"/>
  <c r="E54" i="4"/>
  <c r="C54" i="4"/>
  <c r="A54" i="4"/>
  <c r="J53" i="4"/>
  <c r="H53" i="4"/>
  <c r="E53" i="4"/>
  <c r="C53" i="4"/>
  <c r="A53" i="4"/>
  <c r="J52" i="4"/>
  <c r="H52" i="4"/>
  <c r="E52" i="4"/>
  <c r="C52" i="4"/>
  <c r="A52" i="4"/>
  <c r="J51" i="4"/>
  <c r="H51" i="4"/>
  <c r="E51" i="4"/>
  <c r="C51" i="4"/>
  <c r="A51" i="4"/>
  <c r="J50" i="4"/>
  <c r="H50" i="4"/>
  <c r="E50" i="4"/>
  <c r="C50" i="4"/>
  <c r="A50" i="4"/>
  <c r="J49" i="4"/>
  <c r="H49" i="4"/>
  <c r="E49" i="4"/>
  <c r="C49" i="4"/>
  <c r="A49" i="4"/>
  <c r="J48" i="4"/>
  <c r="H48" i="4"/>
  <c r="E48" i="4"/>
  <c r="C48" i="4"/>
  <c r="A48" i="4"/>
  <c r="J47" i="4"/>
  <c r="H47" i="4"/>
  <c r="E47" i="4"/>
  <c r="C47" i="4"/>
  <c r="A47" i="4"/>
  <c r="J46" i="4"/>
  <c r="H46" i="4"/>
  <c r="E46" i="4"/>
  <c r="C46" i="4"/>
  <c r="A46" i="4"/>
  <c r="J45" i="4"/>
  <c r="H45" i="4"/>
  <c r="E45" i="4"/>
  <c r="C45" i="4"/>
  <c r="A45" i="4"/>
  <c r="J44" i="4"/>
  <c r="H44" i="4"/>
  <c r="E44" i="4"/>
  <c r="C44" i="4"/>
  <c r="A44" i="4"/>
  <c r="J43" i="4"/>
  <c r="H43" i="4"/>
  <c r="E43" i="4"/>
  <c r="C43" i="4"/>
  <c r="A43" i="4"/>
  <c r="J42" i="4"/>
  <c r="H42" i="4"/>
  <c r="E42" i="4"/>
  <c r="C42" i="4"/>
  <c r="A42" i="4"/>
  <c r="J41" i="4"/>
  <c r="H41" i="4"/>
  <c r="E41" i="4"/>
  <c r="C41" i="4"/>
  <c r="A41" i="4"/>
  <c r="J40" i="4"/>
  <c r="H40" i="4"/>
  <c r="E40" i="4"/>
  <c r="C40" i="4"/>
  <c r="A40" i="4"/>
  <c r="J39" i="4"/>
  <c r="H39" i="4"/>
  <c r="E39" i="4"/>
  <c r="C39" i="4"/>
  <c r="A39" i="4"/>
  <c r="J38" i="4"/>
  <c r="H38" i="4"/>
  <c r="E38" i="4"/>
  <c r="C38" i="4"/>
  <c r="A38" i="4"/>
  <c r="J37" i="4"/>
  <c r="H37" i="4"/>
  <c r="E37" i="4"/>
  <c r="C37" i="4"/>
  <c r="A37" i="4"/>
  <c r="J36" i="4"/>
  <c r="H36" i="4"/>
  <c r="E36" i="4"/>
  <c r="C36" i="4"/>
  <c r="A36" i="4"/>
  <c r="J35" i="4"/>
  <c r="H35" i="4"/>
  <c r="E35" i="4"/>
  <c r="C35" i="4"/>
  <c r="A35" i="4"/>
  <c r="J34" i="4"/>
  <c r="H34" i="4"/>
  <c r="E34" i="4"/>
  <c r="C34" i="4"/>
  <c r="A34" i="4"/>
  <c r="J33" i="4"/>
  <c r="H33" i="4"/>
  <c r="E33" i="4"/>
  <c r="C33" i="4"/>
  <c r="A33" i="4"/>
  <c r="J32" i="4"/>
  <c r="H32" i="4"/>
  <c r="E32" i="4"/>
  <c r="C32" i="4"/>
  <c r="A32" i="4"/>
  <c r="J31" i="4"/>
  <c r="H31" i="4"/>
  <c r="E31" i="4"/>
  <c r="C31" i="4"/>
  <c r="A31" i="4"/>
  <c r="J30" i="4"/>
  <c r="H30" i="4"/>
  <c r="E30" i="4"/>
  <c r="C30" i="4"/>
  <c r="A30" i="4"/>
  <c r="J29" i="4"/>
  <c r="H29" i="4"/>
  <c r="E29" i="4"/>
  <c r="C29" i="4"/>
  <c r="A29" i="4"/>
  <c r="J28" i="4"/>
  <c r="H28" i="4"/>
  <c r="E28" i="4"/>
  <c r="C28" i="4"/>
  <c r="A28" i="4"/>
  <c r="J27" i="4"/>
  <c r="H27" i="4"/>
  <c r="E27" i="4"/>
  <c r="C27" i="4"/>
  <c r="A27" i="4"/>
  <c r="J26" i="4"/>
  <c r="H26" i="4"/>
  <c r="E26" i="4"/>
  <c r="C26" i="4"/>
  <c r="A26" i="4"/>
  <c r="J25" i="4"/>
  <c r="H25" i="4"/>
  <c r="E25" i="4"/>
  <c r="C25" i="4"/>
  <c r="A25" i="4"/>
  <c r="J24" i="4"/>
  <c r="H24" i="4"/>
  <c r="E24" i="4"/>
  <c r="C24" i="4"/>
  <c r="A24" i="4"/>
  <c r="J23" i="4"/>
  <c r="H23" i="4"/>
  <c r="E23" i="4"/>
  <c r="C23" i="4"/>
  <c r="A23" i="4"/>
  <c r="J22" i="4"/>
  <c r="H22" i="4"/>
  <c r="E22" i="4"/>
  <c r="C22" i="4"/>
  <c r="A22" i="4"/>
  <c r="J21" i="4"/>
  <c r="H21" i="4"/>
  <c r="E21" i="4"/>
  <c r="C21" i="4"/>
  <c r="A21" i="4"/>
  <c r="J20" i="4"/>
  <c r="H20" i="4"/>
  <c r="E20" i="4"/>
  <c r="C20" i="4"/>
  <c r="A20" i="4"/>
  <c r="J19" i="4"/>
  <c r="H19" i="4"/>
  <c r="E19" i="4"/>
  <c r="C19" i="4"/>
  <c r="A19" i="4"/>
  <c r="J18" i="4"/>
  <c r="H18" i="4"/>
  <c r="E18" i="4"/>
  <c r="C18" i="4"/>
  <c r="A18" i="4"/>
  <c r="J17" i="4"/>
  <c r="H17" i="4"/>
  <c r="E17" i="4"/>
  <c r="C17" i="4"/>
  <c r="A17" i="4"/>
  <c r="J16" i="4"/>
  <c r="H16" i="4"/>
  <c r="E16" i="4"/>
  <c r="C16" i="4"/>
  <c r="A16" i="4"/>
  <c r="J15" i="4"/>
  <c r="H15" i="4"/>
  <c r="E15" i="4"/>
  <c r="C15" i="4"/>
  <c r="A15" i="4"/>
  <c r="J14" i="4"/>
  <c r="H14" i="4"/>
  <c r="E14" i="4"/>
  <c r="C14" i="4"/>
  <c r="A14" i="4"/>
  <c r="J13" i="4"/>
  <c r="H13" i="4"/>
  <c r="E13" i="4"/>
  <c r="C13" i="4"/>
  <c r="A13" i="4"/>
  <c r="J12" i="4"/>
  <c r="H12" i="4"/>
  <c r="E12" i="4"/>
  <c r="C12" i="4"/>
  <c r="A12" i="4"/>
  <c r="J11" i="4"/>
  <c r="H11" i="4"/>
  <c r="E11" i="4"/>
  <c r="C11" i="4"/>
  <c r="A11" i="4"/>
  <c r="J10" i="4"/>
  <c r="H10" i="4"/>
  <c r="E10" i="4"/>
  <c r="C10" i="4"/>
  <c r="A10" i="4"/>
  <c r="J9" i="4"/>
  <c r="H9" i="4"/>
  <c r="E9" i="4"/>
  <c r="C9" i="4"/>
  <c r="A9" i="4"/>
  <c r="J8" i="4"/>
  <c r="H8" i="4"/>
  <c r="E8" i="4"/>
  <c r="C8" i="4"/>
  <c r="A8" i="4"/>
  <c r="J7" i="4"/>
  <c r="H7" i="4"/>
  <c r="E7" i="4"/>
  <c r="C7" i="4"/>
  <c r="A7" i="4"/>
  <c r="J6" i="4"/>
  <c r="H6" i="4"/>
  <c r="E6" i="4"/>
  <c r="C6" i="4"/>
  <c r="A6" i="4"/>
  <c r="J5" i="4"/>
  <c r="H5" i="4"/>
  <c r="E5" i="4"/>
  <c r="C5" i="4"/>
  <c r="A5" i="4"/>
  <c r="J4" i="4"/>
  <c r="H4" i="4"/>
  <c r="E4" i="4"/>
  <c r="C4" i="4"/>
  <c r="A4" i="4"/>
  <c r="J3" i="4"/>
  <c r="H3" i="4"/>
  <c r="E3" i="4"/>
  <c r="C3" i="4"/>
  <c r="A3" i="4"/>
  <c r="J2" i="4"/>
  <c r="H2" i="4"/>
  <c r="E2" i="4"/>
  <c r="C2" i="4"/>
  <c r="A2" i="4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A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A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A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C3" i="2" l="1"/>
  <c r="D3" i="2"/>
  <c r="E3" i="2"/>
  <c r="G3" i="2"/>
  <c r="H3" i="2"/>
  <c r="I3" i="2"/>
  <c r="J3" i="2"/>
  <c r="K3" i="2"/>
  <c r="L3" i="2"/>
  <c r="C4" i="2"/>
  <c r="D4" i="2"/>
  <c r="E4" i="2"/>
  <c r="I4" i="2" s="1"/>
  <c r="G4" i="2"/>
  <c r="H4" i="2"/>
  <c r="J4" i="2"/>
  <c r="K4" i="2"/>
  <c r="L4" i="2"/>
  <c r="C5" i="2"/>
  <c r="H5" i="2" s="1"/>
  <c r="D5" i="2"/>
  <c r="G5" i="2" s="1"/>
  <c r="E5" i="2"/>
  <c r="I5" i="2" s="1"/>
  <c r="J5" i="2"/>
  <c r="K5" i="2"/>
  <c r="L5" i="2"/>
  <c r="C6" i="2"/>
  <c r="H6" i="2" s="1"/>
  <c r="D6" i="2"/>
  <c r="E6" i="2"/>
  <c r="I6" i="2" s="1"/>
  <c r="J6" i="2"/>
  <c r="K6" i="2"/>
  <c r="L6" i="2"/>
  <c r="C7" i="2"/>
  <c r="D7" i="2"/>
  <c r="E7" i="2"/>
  <c r="G7" i="2"/>
  <c r="H7" i="2"/>
  <c r="I7" i="2"/>
  <c r="J7" i="2"/>
  <c r="K7" i="2"/>
  <c r="L7" i="2"/>
  <c r="C8" i="2"/>
  <c r="D8" i="2"/>
  <c r="E8" i="2"/>
  <c r="I8" i="2" s="1"/>
  <c r="G8" i="2"/>
  <c r="H8" i="2"/>
  <c r="J8" i="2"/>
  <c r="K8" i="2"/>
  <c r="L8" i="2"/>
  <c r="C9" i="2"/>
  <c r="H9" i="2" s="1"/>
  <c r="D9" i="2"/>
  <c r="G9" i="2" s="1"/>
  <c r="E9" i="2"/>
  <c r="I9" i="2" s="1"/>
  <c r="J9" i="2"/>
  <c r="K9" i="2"/>
  <c r="L9" i="2"/>
  <c r="C10" i="2"/>
  <c r="H10" i="2" s="1"/>
  <c r="D10" i="2"/>
  <c r="E10" i="2"/>
  <c r="I10" i="2" s="1"/>
  <c r="J10" i="2"/>
  <c r="K10" i="2"/>
  <c r="L10" i="2"/>
  <c r="C11" i="2"/>
  <c r="H11" i="2" s="1"/>
  <c r="D11" i="2"/>
  <c r="E11" i="2"/>
  <c r="I11" i="2"/>
  <c r="J11" i="2"/>
  <c r="K11" i="2"/>
  <c r="L11" i="2"/>
  <c r="C12" i="2"/>
  <c r="H12" i="2" s="1"/>
  <c r="D12" i="2"/>
  <c r="E12" i="2"/>
  <c r="I12" i="2" s="1"/>
  <c r="J12" i="2"/>
  <c r="K12" i="2"/>
  <c r="L12" i="2"/>
  <c r="C13" i="2"/>
  <c r="H13" i="2" s="1"/>
  <c r="D13" i="2"/>
  <c r="G13" i="2" s="1"/>
  <c r="E13" i="2"/>
  <c r="I13" i="2" s="1"/>
  <c r="J13" i="2"/>
  <c r="K13" i="2"/>
  <c r="L13" i="2"/>
  <c r="C14" i="2"/>
  <c r="H14" i="2" s="1"/>
  <c r="D14" i="2"/>
  <c r="E14" i="2"/>
  <c r="I14" i="2" s="1"/>
  <c r="J14" i="2"/>
  <c r="K14" i="2"/>
  <c r="L14" i="2"/>
  <c r="C15" i="2"/>
  <c r="D15" i="2"/>
  <c r="E15" i="2"/>
  <c r="G15" i="2"/>
  <c r="H15" i="2"/>
  <c r="I15" i="2"/>
  <c r="J15" i="2"/>
  <c r="K15" i="2"/>
  <c r="L15" i="2"/>
  <c r="C16" i="2"/>
  <c r="D16" i="2"/>
  <c r="E16" i="2"/>
  <c r="I16" i="2" s="1"/>
  <c r="H16" i="2"/>
  <c r="J16" i="2"/>
  <c r="K16" i="2"/>
  <c r="L16" i="2"/>
  <c r="C17" i="2"/>
  <c r="H17" i="2" s="1"/>
  <c r="D17" i="2"/>
  <c r="G17" i="2" s="1"/>
  <c r="E17" i="2"/>
  <c r="I17" i="2" s="1"/>
  <c r="J17" i="2"/>
  <c r="K17" i="2"/>
  <c r="L17" i="2"/>
  <c r="C18" i="2"/>
  <c r="H18" i="2" s="1"/>
  <c r="D18" i="2"/>
  <c r="E18" i="2"/>
  <c r="I18" i="2" s="1"/>
  <c r="J18" i="2"/>
  <c r="K18" i="2"/>
  <c r="L18" i="2"/>
  <c r="C19" i="2"/>
  <c r="H19" i="2" s="1"/>
  <c r="D19" i="2"/>
  <c r="E19" i="2"/>
  <c r="I19" i="2" s="1"/>
  <c r="J19" i="2"/>
  <c r="K19" i="2"/>
  <c r="L19" i="2"/>
  <c r="C20" i="2"/>
  <c r="H20" i="2" s="1"/>
  <c r="D20" i="2"/>
  <c r="E20" i="2"/>
  <c r="I20" i="2" s="1"/>
  <c r="J20" i="2"/>
  <c r="K20" i="2"/>
  <c r="L20" i="2"/>
  <c r="C21" i="2"/>
  <c r="H21" i="2" s="1"/>
  <c r="D21" i="2"/>
  <c r="G21" i="2" s="1"/>
  <c r="E21" i="2"/>
  <c r="I21" i="2" s="1"/>
  <c r="J21" i="2"/>
  <c r="K21" i="2"/>
  <c r="L21" i="2"/>
  <c r="C22" i="2"/>
  <c r="H22" i="2" s="1"/>
  <c r="D22" i="2"/>
  <c r="E22" i="2"/>
  <c r="I22" i="2" s="1"/>
  <c r="J22" i="2"/>
  <c r="K22" i="2"/>
  <c r="L22" i="2"/>
  <c r="C23" i="2"/>
  <c r="D23" i="2"/>
  <c r="E23" i="2"/>
  <c r="G23" i="2"/>
  <c r="H23" i="2"/>
  <c r="I23" i="2"/>
  <c r="J23" i="2"/>
  <c r="K23" i="2"/>
  <c r="L23" i="2"/>
  <c r="C24" i="2"/>
  <c r="D24" i="2"/>
  <c r="E24" i="2"/>
  <c r="I24" i="2" s="1"/>
  <c r="G24" i="2"/>
  <c r="H24" i="2"/>
  <c r="J24" i="2"/>
  <c r="K24" i="2"/>
  <c r="L24" i="2"/>
  <c r="C25" i="2"/>
  <c r="H25" i="2" s="1"/>
  <c r="D25" i="2"/>
  <c r="G25" i="2" s="1"/>
  <c r="E25" i="2"/>
  <c r="I25" i="2" s="1"/>
  <c r="J25" i="2"/>
  <c r="K25" i="2"/>
  <c r="L25" i="2"/>
  <c r="C26" i="2"/>
  <c r="H26" i="2" s="1"/>
  <c r="D26" i="2"/>
  <c r="E26" i="2"/>
  <c r="I26" i="2"/>
  <c r="J26" i="2"/>
  <c r="K26" i="2"/>
  <c r="L26" i="2"/>
  <c r="C27" i="2"/>
  <c r="D27" i="2"/>
  <c r="E27" i="2"/>
  <c r="G27" i="2"/>
  <c r="H27" i="2"/>
  <c r="I27" i="2"/>
  <c r="J27" i="2"/>
  <c r="K27" i="2"/>
  <c r="L27" i="2"/>
  <c r="C28" i="2"/>
  <c r="H28" i="2" s="1"/>
  <c r="D28" i="2"/>
  <c r="E28" i="2"/>
  <c r="I28" i="2" s="1"/>
  <c r="G28" i="2"/>
  <c r="J28" i="2"/>
  <c r="K28" i="2"/>
  <c r="L28" i="2"/>
  <c r="C29" i="2"/>
  <c r="H29" i="2" s="1"/>
  <c r="D29" i="2"/>
  <c r="G29" i="2" s="1"/>
  <c r="E29" i="2"/>
  <c r="I29" i="2" s="1"/>
  <c r="J29" i="2"/>
  <c r="K29" i="2"/>
  <c r="L29" i="2"/>
  <c r="C30" i="2"/>
  <c r="H30" i="2" s="1"/>
  <c r="D30" i="2"/>
  <c r="E30" i="2"/>
  <c r="I30" i="2" s="1"/>
  <c r="J30" i="2"/>
  <c r="K30" i="2"/>
  <c r="L30" i="2"/>
  <c r="C31" i="2"/>
  <c r="H31" i="2" s="1"/>
  <c r="D31" i="2"/>
  <c r="E31" i="2"/>
  <c r="I31" i="2" s="1"/>
  <c r="J31" i="2"/>
  <c r="K31" i="2"/>
  <c r="L31" i="2"/>
  <c r="C32" i="2"/>
  <c r="H32" i="2" s="1"/>
  <c r="D32" i="2"/>
  <c r="E32" i="2"/>
  <c r="I32" i="2" s="1"/>
  <c r="J32" i="2"/>
  <c r="K32" i="2"/>
  <c r="L32" i="2"/>
  <c r="C33" i="2"/>
  <c r="H33" i="2" s="1"/>
  <c r="D33" i="2"/>
  <c r="G33" i="2" s="1"/>
  <c r="E33" i="2"/>
  <c r="I33" i="2" s="1"/>
  <c r="J33" i="2"/>
  <c r="K33" i="2"/>
  <c r="L33" i="2"/>
  <c r="C34" i="2"/>
  <c r="H34" i="2" s="1"/>
  <c r="D34" i="2"/>
  <c r="E34" i="2"/>
  <c r="I34" i="2"/>
  <c r="J34" i="2"/>
  <c r="K34" i="2"/>
  <c r="L34" i="2"/>
  <c r="C35" i="2"/>
  <c r="D35" i="2"/>
  <c r="E35" i="2"/>
  <c r="G35" i="2"/>
  <c r="H35" i="2"/>
  <c r="I35" i="2"/>
  <c r="J35" i="2"/>
  <c r="K35" i="2"/>
  <c r="L35" i="2"/>
  <c r="C36" i="2"/>
  <c r="D36" i="2"/>
  <c r="E36" i="2"/>
  <c r="I36" i="2" s="1"/>
  <c r="G36" i="2"/>
  <c r="H36" i="2"/>
  <c r="J36" i="2"/>
  <c r="K36" i="2"/>
  <c r="L36" i="2"/>
  <c r="C37" i="2"/>
  <c r="H37" i="2" s="1"/>
  <c r="D37" i="2"/>
  <c r="G37" i="2" s="1"/>
  <c r="E37" i="2"/>
  <c r="I37" i="2" s="1"/>
  <c r="J37" i="2"/>
  <c r="K37" i="2"/>
  <c r="L37" i="2"/>
  <c r="C38" i="2"/>
  <c r="H38" i="2" s="1"/>
  <c r="D38" i="2"/>
  <c r="E38" i="2"/>
  <c r="I38" i="2"/>
  <c r="J38" i="2"/>
  <c r="K38" i="2"/>
  <c r="L38" i="2"/>
  <c r="C39" i="2"/>
  <c r="D39" i="2"/>
  <c r="E39" i="2"/>
  <c r="G39" i="2"/>
  <c r="H39" i="2"/>
  <c r="I39" i="2"/>
  <c r="J39" i="2"/>
  <c r="K39" i="2"/>
  <c r="L39" i="2"/>
  <c r="C40" i="2"/>
  <c r="D40" i="2"/>
  <c r="E40" i="2"/>
  <c r="I40" i="2" s="1"/>
  <c r="G40" i="2"/>
  <c r="H40" i="2"/>
  <c r="J40" i="2"/>
  <c r="K40" i="2"/>
  <c r="L40" i="2"/>
  <c r="C41" i="2"/>
  <c r="H41" i="2" s="1"/>
  <c r="D41" i="2"/>
  <c r="G41" i="2" s="1"/>
  <c r="E41" i="2"/>
  <c r="I41" i="2" s="1"/>
  <c r="J41" i="2"/>
  <c r="K41" i="2"/>
  <c r="L41" i="2"/>
  <c r="C42" i="2"/>
  <c r="H42" i="2" s="1"/>
  <c r="D42" i="2"/>
  <c r="E42" i="2"/>
  <c r="I42" i="2"/>
  <c r="J42" i="2"/>
  <c r="K42" i="2"/>
  <c r="L42" i="2"/>
  <c r="C43" i="2"/>
  <c r="D43" i="2"/>
  <c r="E43" i="2"/>
  <c r="G43" i="2"/>
  <c r="H43" i="2"/>
  <c r="I43" i="2"/>
  <c r="J43" i="2"/>
  <c r="K43" i="2"/>
  <c r="L43" i="2"/>
  <c r="C44" i="2"/>
  <c r="D44" i="2"/>
  <c r="E44" i="2"/>
  <c r="G44" i="2"/>
  <c r="H44" i="2"/>
  <c r="I44" i="2"/>
  <c r="J44" i="2"/>
  <c r="K44" i="2"/>
  <c r="L44" i="2"/>
  <c r="C45" i="2"/>
  <c r="D45" i="2"/>
  <c r="E45" i="2"/>
  <c r="G45" i="2"/>
  <c r="H45" i="2"/>
  <c r="I45" i="2"/>
  <c r="J45" i="2"/>
  <c r="K45" i="2"/>
  <c r="L45" i="2"/>
  <c r="C46" i="2"/>
  <c r="D46" i="2"/>
  <c r="E46" i="2"/>
  <c r="G46" i="2"/>
  <c r="H46" i="2"/>
  <c r="I46" i="2"/>
  <c r="J46" i="2"/>
  <c r="K46" i="2"/>
  <c r="L46" i="2"/>
  <c r="C47" i="2"/>
  <c r="D47" i="2"/>
  <c r="E47" i="2"/>
  <c r="G47" i="2"/>
  <c r="H47" i="2"/>
  <c r="I47" i="2"/>
  <c r="J47" i="2"/>
  <c r="K47" i="2"/>
  <c r="L47" i="2"/>
  <c r="C48" i="2"/>
  <c r="D48" i="2"/>
  <c r="E48" i="2"/>
  <c r="G48" i="2"/>
  <c r="H48" i="2"/>
  <c r="I48" i="2"/>
  <c r="J48" i="2"/>
  <c r="K48" i="2"/>
  <c r="L48" i="2"/>
  <c r="C49" i="2"/>
  <c r="D49" i="2"/>
  <c r="E49" i="2"/>
  <c r="G49" i="2"/>
  <c r="H49" i="2"/>
  <c r="I49" i="2"/>
  <c r="J49" i="2"/>
  <c r="K49" i="2"/>
  <c r="L49" i="2"/>
  <c r="C50" i="2"/>
  <c r="D50" i="2"/>
  <c r="E50" i="2"/>
  <c r="G50" i="2"/>
  <c r="H50" i="2"/>
  <c r="I50" i="2"/>
  <c r="J50" i="2"/>
  <c r="K50" i="2"/>
  <c r="L50" i="2"/>
  <c r="C51" i="2"/>
  <c r="D51" i="2"/>
  <c r="E51" i="2"/>
  <c r="G51" i="2"/>
  <c r="H51" i="2"/>
  <c r="I51" i="2"/>
  <c r="J51" i="2"/>
  <c r="K51" i="2"/>
  <c r="L51" i="2"/>
  <c r="C52" i="2"/>
  <c r="D52" i="2"/>
  <c r="E52" i="2"/>
  <c r="G52" i="2"/>
  <c r="H52" i="2"/>
  <c r="I52" i="2"/>
  <c r="J52" i="2"/>
  <c r="K52" i="2"/>
  <c r="L52" i="2"/>
  <c r="C53" i="2"/>
  <c r="D53" i="2"/>
  <c r="E53" i="2"/>
  <c r="G53" i="2"/>
  <c r="H53" i="2"/>
  <c r="I53" i="2"/>
  <c r="J53" i="2"/>
  <c r="K53" i="2"/>
  <c r="L53" i="2"/>
  <c r="C54" i="2"/>
  <c r="D54" i="2"/>
  <c r="E54" i="2"/>
  <c r="G54" i="2"/>
  <c r="H54" i="2"/>
  <c r="I54" i="2"/>
  <c r="J54" i="2"/>
  <c r="K54" i="2"/>
  <c r="L54" i="2"/>
  <c r="C55" i="2"/>
  <c r="D55" i="2"/>
  <c r="E55" i="2"/>
  <c r="G55" i="2"/>
  <c r="H55" i="2"/>
  <c r="I55" i="2"/>
  <c r="J55" i="2"/>
  <c r="K55" i="2"/>
  <c r="L55" i="2"/>
  <c r="C56" i="2"/>
  <c r="D56" i="2"/>
  <c r="E56" i="2"/>
  <c r="G56" i="2"/>
  <c r="H56" i="2"/>
  <c r="I56" i="2"/>
  <c r="J56" i="2"/>
  <c r="K56" i="2"/>
  <c r="L56" i="2"/>
  <c r="C57" i="2"/>
  <c r="D57" i="2"/>
  <c r="E57" i="2"/>
  <c r="G57" i="2"/>
  <c r="H57" i="2"/>
  <c r="I57" i="2"/>
  <c r="J57" i="2"/>
  <c r="K57" i="2"/>
  <c r="L57" i="2"/>
  <c r="C58" i="2"/>
  <c r="D58" i="2"/>
  <c r="E58" i="2"/>
  <c r="G58" i="2"/>
  <c r="H58" i="2"/>
  <c r="I58" i="2"/>
  <c r="J58" i="2"/>
  <c r="K58" i="2"/>
  <c r="L58" i="2"/>
  <c r="C59" i="2"/>
  <c r="D59" i="2"/>
  <c r="E59" i="2"/>
  <c r="G59" i="2"/>
  <c r="H59" i="2"/>
  <c r="I59" i="2"/>
  <c r="J59" i="2"/>
  <c r="K59" i="2"/>
  <c r="L59" i="2"/>
  <c r="C60" i="2"/>
  <c r="D60" i="2"/>
  <c r="E60" i="2"/>
  <c r="G60" i="2"/>
  <c r="H60" i="2"/>
  <c r="I60" i="2"/>
  <c r="J60" i="2"/>
  <c r="K60" i="2"/>
  <c r="L60" i="2"/>
  <c r="C61" i="2"/>
  <c r="D61" i="2"/>
  <c r="E61" i="2"/>
  <c r="G61" i="2"/>
  <c r="H61" i="2"/>
  <c r="I61" i="2"/>
  <c r="J61" i="2"/>
  <c r="K61" i="2"/>
  <c r="L61" i="2"/>
  <c r="C62" i="2"/>
  <c r="D62" i="2"/>
  <c r="E62" i="2"/>
  <c r="G62" i="2"/>
  <c r="H62" i="2"/>
  <c r="I62" i="2"/>
  <c r="J62" i="2"/>
  <c r="K62" i="2"/>
  <c r="L62" i="2"/>
  <c r="C63" i="2"/>
  <c r="D63" i="2"/>
  <c r="E63" i="2"/>
  <c r="G63" i="2"/>
  <c r="H63" i="2"/>
  <c r="I63" i="2"/>
  <c r="J63" i="2"/>
  <c r="K63" i="2"/>
  <c r="L63" i="2"/>
  <c r="C64" i="2"/>
  <c r="D64" i="2"/>
  <c r="E64" i="2"/>
  <c r="G64" i="2"/>
  <c r="H64" i="2"/>
  <c r="I64" i="2"/>
  <c r="J64" i="2"/>
  <c r="K64" i="2"/>
  <c r="L64" i="2"/>
  <c r="C65" i="2"/>
  <c r="D65" i="2"/>
  <c r="E65" i="2"/>
  <c r="G65" i="2"/>
  <c r="H65" i="2"/>
  <c r="I65" i="2"/>
  <c r="J65" i="2"/>
  <c r="K65" i="2"/>
  <c r="L65" i="2"/>
  <c r="C66" i="2"/>
  <c r="D66" i="2"/>
  <c r="E66" i="2"/>
  <c r="G66" i="2"/>
  <c r="H66" i="2"/>
  <c r="I66" i="2"/>
  <c r="J66" i="2"/>
  <c r="K66" i="2"/>
  <c r="L66" i="2"/>
  <c r="C67" i="2"/>
  <c r="D67" i="2"/>
  <c r="E67" i="2"/>
  <c r="G67" i="2"/>
  <c r="H67" i="2"/>
  <c r="I67" i="2"/>
  <c r="J67" i="2"/>
  <c r="K67" i="2"/>
  <c r="L67" i="2"/>
  <c r="C68" i="2"/>
  <c r="D68" i="2"/>
  <c r="E68" i="2"/>
  <c r="G68" i="2"/>
  <c r="H68" i="2"/>
  <c r="I68" i="2"/>
  <c r="J68" i="2"/>
  <c r="K68" i="2"/>
  <c r="L68" i="2"/>
  <c r="C69" i="2"/>
  <c r="D69" i="2"/>
  <c r="E69" i="2"/>
  <c r="G69" i="2"/>
  <c r="H69" i="2"/>
  <c r="I69" i="2"/>
  <c r="J69" i="2"/>
  <c r="K69" i="2"/>
  <c r="L69" i="2"/>
  <c r="C70" i="2"/>
  <c r="D70" i="2"/>
  <c r="E70" i="2"/>
  <c r="G70" i="2"/>
  <c r="H70" i="2"/>
  <c r="I70" i="2"/>
  <c r="J70" i="2"/>
  <c r="K70" i="2"/>
  <c r="L70" i="2"/>
  <c r="C71" i="2"/>
  <c r="D71" i="2"/>
  <c r="E71" i="2"/>
  <c r="G71" i="2"/>
  <c r="H71" i="2"/>
  <c r="I71" i="2"/>
  <c r="J71" i="2"/>
  <c r="K71" i="2"/>
  <c r="L71" i="2"/>
  <c r="C72" i="2"/>
  <c r="D72" i="2"/>
  <c r="E72" i="2"/>
  <c r="G72" i="2"/>
  <c r="H72" i="2"/>
  <c r="I72" i="2"/>
  <c r="J72" i="2"/>
  <c r="K72" i="2"/>
  <c r="L72" i="2"/>
  <c r="C73" i="2"/>
  <c r="D73" i="2"/>
  <c r="E73" i="2"/>
  <c r="G73" i="2"/>
  <c r="H73" i="2"/>
  <c r="I73" i="2"/>
  <c r="J73" i="2"/>
  <c r="K73" i="2"/>
  <c r="L73" i="2"/>
  <c r="C74" i="2"/>
  <c r="D74" i="2"/>
  <c r="E74" i="2"/>
  <c r="G74" i="2"/>
  <c r="H74" i="2"/>
  <c r="I74" i="2"/>
  <c r="J74" i="2"/>
  <c r="K74" i="2"/>
  <c r="L74" i="2"/>
  <c r="C75" i="2"/>
  <c r="D75" i="2"/>
  <c r="E75" i="2"/>
  <c r="G75" i="2"/>
  <c r="H75" i="2"/>
  <c r="I75" i="2"/>
  <c r="J75" i="2"/>
  <c r="K75" i="2"/>
  <c r="L75" i="2"/>
  <c r="C76" i="2"/>
  <c r="D76" i="2"/>
  <c r="E76" i="2"/>
  <c r="G76" i="2"/>
  <c r="H76" i="2"/>
  <c r="I76" i="2"/>
  <c r="J76" i="2"/>
  <c r="K76" i="2"/>
  <c r="L76" i="2"/>
  <c r="C77" i="2"/>
  <c r="D77" i="2"/>
  <c r="E77" i="2"/>
  <c r="G77" i="2"/>
  <c r="H77" i="2"/>
  <c r="I77" i="2"/>
  <c r="J77" i="2"/>
  <c r="K77" i="2"/>
  <c r="L77" i="2"/>
  <c r="C78" i="2"/>
  <c r="D78" i="2"/>
  <c r="E78" i="2"/>
  <c r="G78" i="2"/>
  <c r="H78" i="2"/>
  <c r="I78" i="2"/>
  <c r="J78" i="2"/>
  <c r="K78" i="2"/>
  <c r="L78" i="2"/>
  <c r="C79" i="2"/>
  <c r="D79" i="2"/>
  <c r="E79" i="2"/>
  <c r="G79" i="2"/>
  <c r="H79" i="2"/>
  <c r="I79" i="2"/>
  <c r="J79" i="2"/>
  <c r="K79" i="2"/>
  <c r="L79" i="2"/>
  <c r="C80" i="2"/>
  <c r="D80" i="2"/>
  <c r="E80" i="2"/>
  <c r="G80" i="2"/>
  <c r="H80" i="2"/>
  <c r="I80" i="2"/>
  <c r="J80" i="2"/>
  <c r="K80" i="2"/>
  <c r="L80" i="2"/>
  <c r="C81" i="2"/>
  <c r="D81" i="2"/>
  <c r="E81" i="2"/>
  <c r="G81" i="2"/>
  <c r="H81" i="2"/>
  <c r="I81" i="2"/>
  <c r="J81" i="2"/>
  <c r="K81" i="2"/>
  <c r="L81" i="2"/>
  <c r="C82" i="2"/>
  <c r="D82" i="2"/>
  <c r="E82" i="2"/>
  <c r="G82" i="2"/>
  <c r="H82" i="2"/>
  <c r="I82" i="2"/>
  <c r="J82" i="2"/>
  <c r="K82" i="2"/>
  <c r="L82" i="2"/>
  <c r="C83" i="2"/>
  <c r="D83" i="2"/>
  <c r="E83" i="2"/>
  <c r="G83" i="2"/>
  <c r="H83" i="2"/>
  <c r="I83" i="2"/>
  <c r="J83" i="2"/>
  <c r="K83" i="2"/>
  <c r="L83" i="2"/>
  <c r="C84" i="2"/>
  <c r="D84" i="2"/>
  <c r="E84" i="2"/>
  <c r="G84" i="2"/>
  <c r="H84" i="2"/>
  <c r="I84" i="2"/>
  <c r="J84" i="2"/>
  <c r="K84" i="2"/>
  <c r="L84" i="2"/>
  <c r="C85" i="2"/>
  <c r="D85" i="2"/>
  <c r="E85" i="2"/>
  <c r="G85" i="2"/>
  <c r="H85" i="2"/>
  <c r="I85" i="2"/>
  <c r="J85" i="2"/>
  <c r="K85" i="2"/>
  <c r="L85" i="2"/>
  <c r="C86" i="2"/>
  <c r="D86" i="2"/>
  <c r="E86" i="2"/>
  <c r="G86" i="2"/>
  <c r="H86" i="2"/>
  <c r="I86" i="2"/>
  <c r="J86" i="2"/>
  <c r="K86" i="2"/>
  <c r="L86" i="2"/>
  <c r="C87" i="2"/>
  <c r="D87" i="2"/>
  <c r="E87" i="2"/>
  <c r="G87" i="2"/>
  <c r="H87" i="2"/>
  <c r="I87" i="2"/>
  <c r="J87" i="2"/>
  <c r="K87" i="2"/>
  <c r="L87" i="2"/>
  <c r="C88" i="2"/>
  <c r="D88" i="2"/>
  <c r="E88" i="2"/>
  <c r="G88" i="2"/>
  <c r="H88" i="2"/>
  <c r="I88" i="2"/>
  <c r="J88" i="2"/>
  <c r="K88" i="2"/>
  <c r="L88" i="2"/>
  <c r="C89" i="2"/>
  <c r="D89" i="2"/>
  <c r="E89" i="2"/>
  <c r="G89" i="2"/>
  <c r="H89" i="2"/>
  <c r="I89" i="2"/>
  <c r="J89" i="2"/>
  <c r="K89" i="2"/>
  <c r="L89" i="2"/>
  <c r="C90" i="2"/>
  <c r="D90" i="2"/>
  <c r="E90" i="2"/>
  <c r="G90" i="2"/>
  <c r="H90" i="2"/>
  <c r="I90" i="2"/>
  <c r="J90" i="2"/>
  <c r="K90" i="2"/>
  <c r="L90" i="2"/>
  <c r="C91" i="2"/>
  <c r="D91" i="2"/>
  <c r="E91" i="2"/>
  <c r="G91" i="2"/>
  <c r="H91" i="2"/>
  <c r="I91" i="2"/>
  <c r="J91" i="2"/>
  <c r="K91" i="2"/>
  <c r="L91" i="2"/>
  <c r="C92" i="2"/>
  <c r="D92" i="2"/>
  <c r="E92" i="2"/>
  <c r="G92" i="2"/>
  <c r="H92" i="2"/>
  <c r="I92" i="2"/>
  <c r="J92" i="2"/>
  <c r="K92" i="2"/>
  <c r="L92" i="2"/>
  <c r="C93" i="2"/>
  <c r="D93" i="2"/>
  <c r="E93" i="2"/>
  <c r="G93" i="2"/>
  <c r="H93" i="2"/>
  <c r="I93" i="2"/>
  <c r="J93" i="2"/>
  <c r="K93" i="2"/>
  <c r="L93" i="2"/>
  <c r="C94" i="2"/>
  <c r="D94" i="2"/>
  <c r="E94" i="2"/>
  <c r="G94" i="2"/>
  <c r="H94" i="2"/>
  <c r="I94" i="2"/>
  <c r="J94" i="2"/>
  <c r="K94" i="2"/>
  <c r="L94" i="2"/>
  <c r="C95" i="2"/>
  <c r="D95" i="2"/>
  <c r="E95" i="2"/>
  <c r="G95" i="2"/>
  <c r="H95" i="2"/>
  <c r="I95" i="2"/>
  <c r="J95" i="2"/>
  <c r="K95" i="2"/>
  <c r="L95" i="2"/>
  <c r="C96" i="2"/>
  <c r="D96" i="2"/>
  <c r="E96" i="2"/>
  <c r="G96" i="2"/>
  <c r="H96" i="2"/>
  <c r="I96" i="2"/>
  <c r="J96" i="2"/>
  <c r="K96" i="2"/>
  <c r="L96" i="2"/>
  <c r="C97" i="2"/>
  <c r="D97" i="2"/>
  <c r="E97" i="2"/>
  <c r="G97" i="2"/>
  <c r="H97" i="2"/>
  <c r="I97" i="2"/>
  <c r="J97" i="2"/>
  <c r="K97" i="2"/>
  <c r="L97" i="2"/>
  <c r="C98" i="2"/>
  <c r="D98" i="2"/>
  <c r="E98" i="2"/>
  <c r="G98" i="2"/>
  <c r="H98" i="2"/>
  <c r="I98" i="2"/>
  <c r="J98" i="2"/>
  <c r="K98" i="2"/>
  <c r="L98" i="2"/>
  <c r="C99" i="2"/>
  <c r="D99" i="2"/>
  <c r="E99" i="2"/>
  <c r="G99" i="2"/>
  <c r="H99" i="2"/>
  <c r="I99" i="2"/>
  <c r="J99" i="2"/>
  <c r="K99" i="2"/>
  <c r="L99" i="2"/>
  <c r="C100" i="2"/>
  <c r="D100" i="2"/>
  <c r="E100" i="2"/>
  <c r="G100" i="2"/>
  <c r="H100" i="2"/>
  <c r="I100" i="2"/>
  <c r="J100" i="2"/>
  <c r="K100" i="2"/>
  <c r="L100" i="2"/>
  <c r="C101" i="2"/>
  <c r="D101" i="2"/>
  <c r="E101" i="2"/>
  <c r="G101" i="2"/>
  <c r="H101" i="2"/>
  <c r="I101" i="2"/>
  <c r="J101" i="2"/>
  <c r="K101" i="2"/>
  <c r="L101" i="2"/>
  <c r="G32" i="2" l="1"/>
  <c r="G31" i="2"/>
  <c r="G20" i="2"/>
  <c r="G19" i="2"/>
  <c r="G16" i="2"/>
  <c r="G12" i="2"/>
  <c r="G11" i="2"/>
  <c r="G42" i="2"/>
  <c r="G38" i="2"/>
  <c r="G34" i="2"/>
  <c r="G30" i="2"/>
  <c r="G26" i="2"/>
  <c r="G22" i="2"/>
  <c r="G18" i="2"/>
  <c r="G14" i="2"/>
  <c r="G10" i="2"/>
  <c r="G6" i="2"/>
  <c r="L2" i="2"/>
  <c r="K2" i="2"/>
  <c r="J2" i="2"/>
  <c r="C2" i="2"/>
  <c r="E2" i="2"/>
  <c r="D2" i="2"/>
  <c r="I2" i="2" l="1"/>
  <c r="H2" i="2"/>
  <c r="G2" i="2"/>
</calcChain>
</file>

<file path=xl/sharedStrings.xml><?xml version="1.0" encoding="utf-8"?>
<sst xmlns="http://schemas.openxmlformats.org/spreadsheetml/2006/main" count="672" uniqueCount="220">
  <si>
    <t>SKU</t>
  </si>
  <si>
    <t>Colors</t>
  </si>
  <si>
    <t>Name</t>
  </si>
  <si>
    <t>Description</t>
  </si>
  <si>
    <t>Model Size</t>
  </si>
  <si>
    <t>Model Height</t>
  </si>
  <si>
    <t>Style</t>
  </si>
  <si>
    <t>Size</t>
  </si>
  <si>
    <t>Sale price</t>
  </si>
  <si>
    <t>Regular price</t>
  </si>
  <si>
    <t>S</t>
  </si>
  <si>
    <t>Dress</t>
  </si>
  <si>
    <t>Jean</t>
  </si>
  <si>
    <t>T-Shirt</t>
  </si>
  <si>
    <t>XS, S, M, L, XL</t>
  </si>
  <si>
    <t>Pant</t>
  </si>
  <si>
    <t>Jacket</t>
  </si>
  <si>
    <t>Sweatshirt</t>
  </si>
  <si>
    <t>Shirt</t>
  </si>
  <si>
    <t>Rustic Oversized Shirt</t>
  </si>
  <si>
    <t>Rustic oversize shirt with a Kent collar, long sleeves, a pocket and button fastening.</t>
  </si>
  <si>
    <t>Color Name</t>
  </si>
  <si>
    <t>SKU-Color</t>
  </si>
  <si>
    <t>Name-Color</t>
  </si>
  <si>
    <t>Categories</t>
  </si>
  <si>
    <t>Images</t>
  </si>
  <si>
    <t>Colors Code</t>
  </si>
  <si>
    <t>Styles</t>
  </si>
  <si>
    <t>Dusty Pink</t>
  </si>
  <si>
    <t>Hoodie</t>
  </si>
  <si>
    <t>Sweatshirts &amp; Hoodies &gt; Hoodies, Sweatshirts &amp; Hoodies</t>
  </si>
  <si>
    <t>Stone</t>
  </si>
  <si>
    <t>Sweatshirts &amp; Hoodies &gt; Sweatshirts, Sweatshirts &amp; Hoodies</t>
  </si>
  <si>
    <t>Bluish Grey</t>
  </si>
  <si>
    <t>Dresses &gt; Dress, Dresses</t>
  </si>
  <si>
    <t>Anthracite Grey</t>
  </si>
  <si>
    <t>Jeans &gt; Jean, Jeans</t>
  </si>
  <si>
    <t>Ice</t>
  </si>
  <si>
    <t>Pants &gt; Pant, Pants</t>
  </si>
  <si>
    <t>Grey Marl</t>
  </si>
  <si>
    <t>Blouses &amp; Shirts &gt; Shirts, Blouses &amp; Shirts</t>
  </si>
  <si>
    <t>Pink</t>
  </si>
  <si>
    <t>T-shirt</t>
  </si>
  <si>
    <t>T-shirts &gt; T-shirt, T-shirts</t>
  </si>
  <si>
    <t>Apple Green</t>
  </si>
  <si>
    <t>Jackets &gt; Jacket, Jackets</t>
  </si>
  <si>
    <t>Deer</t>
  </si>
  <si>
    <t>Black</t>
  </si>
  <si>
    <t>Burgundy</t>
  </si>
  <si>
    <t>Ecru</t>
  </si>
  <si>
    <t>Yarn</t>
  </si>
  <si>
    <t>Medium Blue</t>
  </si>
  <si>
    <t>Grey</t>
  </si>
  <si>
    <t>White</t>
  </si>
  <si>
    <t>Khaki</t>
  </si>
  <si>
    <t>Camel</t>
  </si>
  <si>
    <t>Blue</t>
  </si>
  <si>
    <t>Brown</t>
  </si>
  <si>
    <t>Green</t>
  </si>
  <si>
    <t>Sand</t>
  </si>
  <si>
    <t>Ocher</t>
  </si>
  <si>
    <t>Lead</t>
  </si>
  <si>
    <t>Maroon</t>
  </si>
  <si>
    <t>Pale Green</t>
  </si>
  <si>
    <t>Salmon</t>
  </si>
  <si>
    <t>Red</t>
  </si>
  <si>
    <t>Grey/Blue</t>
  </si>
  <si>
    <t>Faded Blue</t>
  </si>
  <si>
    <t>T-shirt with cowboy and heart graphic</t>
  </si>
  <si>
    <t>T-shirt with My Ranch USA Rodeo graphic, a round collar and short sleeves.</t>
  </si>
  <si>
    <t>Skirt</t>
  </si>
  <si>
    <t>Skirts &gt; Skirt, Skirts</t>
  </si>
  <si>
    <t>Chicago hoodie</t>
  </si>
  <si>
    <t>Hoodie with adjustable drawstrings, a pouch pocket and Chicago slogan print.</t>
  </si>
  <si>
    <t>155, 620, 600, 700</t>
  </si>
  <si>
    <t>Basic mom jeans</t>
  </si>
  <si>
    <t>Basic mom jeans with a five-pocket design, belt loops, and zipper fly and top button fastening. Made from stiff 100% cotton. Inseam length: 70.40 cm. Difference to the standard length model: Petite: - 7 cm; Tall: + 6 cm.</t>
  </si>
  <si>
    <t>28-29</t>
  </si>
  <si>
    <t>807, 426, 401, 428</t>
  </si>
  <si>
    <t>406, 700</t>
  </si>
  <si>
    <t>Striped short sleeve T-shirt</t>
  </si>
  <si>
    <t>Striped T-shirt with short sleeves and a round collar. Available in assorted colors and made of cotton.</t>
  </si>
  <si>
    <t>Flowy pants with linen</t>
  </si>
  <si>
    <t>Flowing rustic pants with an elasticated waistband. Made from a viscose and linen blend.</t>
  </si>
  <si>
    <t>400, 736, 518</t>
  </si>
  <si>
    <t>Strappy crepe midi dress</t>
  </si>
  <si>
    <t>Fitted rustic crepe midi dress with straps.</t>
  </si>
  <si>
    <t>Cropped jacket with pleated detailing on the back, a frayed hem, pockets and button-up front.</t>
  </si>
  <si>
    <t>Cropped jacket with back pleats</t>
  </si>
  <si>
    <t>711, 505</t>
  </si>
  <si>
    <t>712, 450, 505</t>
  </si>
  <si>
    <t>Rustic gathered top</t>
  </si>
  <si>
    <t>Rustic sleeveless crepe T-shirt with gathered detail on the side and a crew neck. Made of stretch fabric.</t>
  </si>
  <si>
    <t>811, 405, 506</t>
  </si>
  <si>
    <t>Faded sweatshirt</t>
  </si>
  <si>
    <t>Faded sweatshirt with long sleeves, round neckline and ribbed collar, hem and cuffs.</t>
  </si>
  <si>
    <t>M</t>
  </si>
  <si>
    <t>XXS, XS, S, M, L, XL</t>
  </si>
  <si>
    <t>Rustic crossed blouse</t>
  </si>
  <si>
    <t>Rustic crossed blouse with button fastening and long sleeves. Made of cotton.</t>
  </si>
  <si>
    <t>Striped balloon mini skirt</t>
  </si>
  <si>
    <t>Balloon mini skirt with a wide waist and striped print.</t>
  </si>
  <si>
    <t>Image Url</t>
  </si>
  <si>
    <t>https://host.zackha.com/images-nuxtcommerce/</t>
  </si>
  <si>
    <t>Water Blue</t>
  </si>
  <si>
    <t>Navy</t>
  </si>
  <si>
    <t>Pale Blue</t>
  </si>
  <si>
    <t>Taupe</t>
  </si>
  <si>
    <t>Pale Mink</t>
  </si>
  <si>
    <t>Bluish Green</t>
  </si>
  <si>
    <t>Indigo</t>
  </si>
  <si>
    <t>Pale Khaki</t>
  </si>
  <si>
    <t>Pale Grey</t>
  </si>
  <si>
    <t>Beige</t>
  </si>
  <si>
    <t>Medium Green</t>
  </si>
  <si>
    <t>Gathered lace camisole top</t>
  </si>
  <si>
    <t>Lace top with gathered detail on the chest and thin straps. Made of stretch fabric.</t>
  </si>
  <si>
    <t>Printed tulle halter top</t>
  </si>
  <si>
    <t>Top with a halter neckline, a tie-dye print and gathered detail on the sides. Made of stretch fabric.</t>
  </si>
  <si>
    <t>Top</t>
  </si>
  <si>
    <t>Tops &gt; Top, Tops</t>
  </si>
  <si>
    <t>Blue striped boxer shorts</t>
  </si>
  <si>
    <t>Pajama-style boxer shorts with a striped print in white and blue tones and an elasticated waistband. Made of 100% cotton.</t>
  </si>
  <si>
    <t>Shorts &gt; Short, Shorts</t>
  </si>
  <si>
    <t>Short</t>
  </si>
  <si>
    <t>Fitted shorts with fold-over waist detail</t>
  </si>
  <si>
    <t>Fitted shorts with fold-over waist detail. Made of stretch fabric.</t>
  </si>
  <si>
    <t>420, 306</t>
  </si>
  <si>
    <t>Striped triangle bikini top</t>
  </si>
  <si>
    <t>Bikini top with a stripe print, thin straps and straps at the back that tie into knots. Made of stretch fabric.</t>
  </si>
  <si>
    <t>Swimwear</t>
  </si>
  <si>
    <t>Swimwear &gt; Bikini, Swimwear</t>
  </si>
  <si>
    <t>Purl knit vest</t>
  </si>
  <si>
    <t>Purl knit vest. Available in assorted colors.</t>
  </si>
  <si>
    <t>Vest</t>
  </si>
  <si>
    <t>Vests &gt; Vest, Vests</t>
  </si>
  <si>
    <t>XS, S, M, L</t>
  </si>
  <si>
    <t>600, 800, 506</t>
  </si>
  <si>
    <t>Crochet jumpsuit</t>
  </si>
  <si>
    <t>Crochet knit romper with openwork detail and tassels, a halter neck and an open back. No lining.</t>
  </si>
  <si>
    <t>S, M, L</t>
  </si>
  <si>
    <t>Jumpsuit</t>
  </si>
  <si>
    <t>Jumpsuits &gt; Jumpsuit, Jumpsuits</t>
  </si>
  <si>
    <t>Raspberry</t>
  </si>
  <si>
    <t>Print</t>
  </si>
  <si>
    <t>120, 115</t>
  </si>
  <si>
    <t>Zebra</t>
  </si>
  <si>
    <t>Pastel Blue</t>
  </si>
  <si>
    <t>Pale Yellow</t>
  </si>
  <si>
    <t>Deep Blue</t>
  </si>
  <si>
    <t>Orange</t>
  </si>
  <si>
    <t>250, 800, 832, 600, 620</t>
  </si>
  <si>
    <t>Short floral lace dress</t>
  </si>
  <si>
    <t>Short sleeveless floral dress in lace fabric with lace trim detail.</t>
  </si>
  <si>
    <t>23-24, 25, 26-27, 28-29, 30, 31-32, 33, 34-35</t>
  </si>
  <si>
    <t>Type</t>
  </si>
  <si>
    <t>Attribute 1 name</t>
  </si>
  <si>
    <t>Attribute 1 value(s)</t>
  </si>
  <si>
    <t>Attribute 1 visible</t>
  </si>
  <si>
    <t>Attribute 1 global</t>
  </si>
  <si>
    <t>Attribute 2 name</t>
  </si>
  <si>
    <t>Attribute 2 value(s)</t>
  </si>
  <si>
    <t>Attribute 2 visible</t>
  </si>
  <si>
    <t>Attribute 2 global</t>
  </si>
  <si>
    <t>Attribute 3 name</t>
  </si>
  <si>
    <t>Attribute 3 value(s)</t>
  </si>
  <si>
    <t>Attribute 3 visible</t>
  </si>
  <si>
    <t>Attribute 3 global</t>
  </si>
  <si>
    <t>Parent</t>
  </si>
  <si>
    <t>Stock</t>
  </si>
  <si>
    <t>XS</t>
  </si>
  <si>
    <t>L</t>
  </si>
  <si>
    <t>XL</t>
  </si>
  <si>
    <t>4471308-600</t>
  </si>
  <si>
    <t>4471308-620</t>
  </si>
  <si>
    <t>4471308-155</t>
  </si>
  <si>
    <t>3243314-712</t>
  </si>
  <si>
    <t>3243314-450</t>
  </si>
  <si>
    <t>3243314-505</t>
  </si>
  <si>
    <t>3470353-527</t>
  </si>
  <si>
    <t>3590311-681</t>
  </si>
  <si>
    <t>3678329-250</t>
  </si>
  <si>
    <t>3678329-800</t>
  </si>
  <si>
    <t>3678329-832</t>
  </si>
  <si>
    <t>3678329-600</t>
  </si>
  <si>
    <t>3678329-620</t>
  </si>
  <si>
    <t>4471308-700</t>
  </si>
  <si>
    <t>7234380-671</t>
  </si>
  <si>
    <t>7244362-428</t>
  </si>
  <si>
    <t>7244374-120</t>
  </si>
  <si>
    <t>7244374-115</t>
  </si>
  <si>
    <t>7244383-406</t>
  </si>
  <si>
    <t>7244383-700</t>
  </si>
  <si>
    <t>7390375-400</t>
  </si>
  <si>
    <t>7390375-736</t>
  </si>
  <si>
    <t>7390375-518</t>
  </si>
  <si>
    <t>7390394-250</t>
  </si>
  <si>
    <t>7396338-400</t>
  </si>
  <si>
    <t>7570302-600</t>
  </si>
  <si>
    <t>7570302-800</t>
  </si>
  <si>
    <t>7570302-506</t>
  </si>
  <si>
    <t>7593335-811</t>
  </si>
  <si>
    <t>XXS</t>
  </si>
  <si>
    <t>7593335-405</t>
  </si>
  <si>
    <t>7593335-506</t>
  </si>
  <si>
    <t>7640311-711</t>
  </si>
  <si>
    <t>7686330-807</t>
  </si>
  <si>
    <t>23-24</t>
  </si>
  <si>
    <t>26-27</t>
  </si>
  <si>
    <t>31-32</t>
  </si>
  <si>
    <t>34-35</t>
  </si>
  <si>
    <t>7686330-426</t>
  </si>
  <si>
    <t>7686330-401</t>
  </si>
  <si>
    <t>7686330-428</t>
  </si>
  <si>
    <t>7693326-423</t>
  </si>
  <si>
    <t>7693406-420</t>
  </si>
  <si>
    <t>7693406-306</t>
  </si>
  <si>
    <t>7710322-711</t>
  </si>
  <si>
    <t>7710322-505</t>
  </si>
  <si>
    <t>7803315-615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</si>
</sst>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4" x14ac:knownFonts="1">
    <font>
      <sz val="12"/>
      <color theme="1"/>
      <name val="Aptos Narrow"/>
      <family val="2"/>
      <charset val="162"/>
      <scheme val="minor"/>
    </font>
    <font>
      <b/>
      <sz val="12"/>
      <color theme="1"/>
      <name val="Aptos Narrow"/>
      <scheme val="minor"/>
    </font>
    <font>
      <sz val="12"/>
      <color theme="1"/>
      <name val="Calibri"/>
      <family val="2"/>
    </font>
    <font>
      <sz val="8"/>
      <name val="Aptos Narrow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2" xfId="0" applyBorder="1"/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64" fontId="2" fillId="0" borderId="1" xfId="0" applyNumberFormat="1" applyFont="1" applyBorder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applyNumberFormat="1"/>
    <xf numFmtId="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7F329-860A-C74B-BB1F-08A7C4509A6A}">
  <sheetPr codeName="Sayfa1"/>
  <dimension ref="A1:J21"/>
  <sheetViews>
    <sheetView showZeros="0" tabSelected="1" workbookViewId="0"/>
  </sheetViews>
  <sheetFormatPr baseColWidth="10" defaultRowHeight="16" x14ac:dyDescent="0.2"/>
  <cols>
    <col min="1" max="1" width="8.1640625" bestFit="1" customWidth="1"/>
    <col min="2" max="2" width="21.33203125" customWidth="1"/>
    <col min="3" max="3" width="33" bestFit="1" customWidth="1"/>
    <col min="4" max="4" width="22.5" customWidth="1"/>
    <col min="5" max="5" width="9.83203125" bestFit="1" customWidth="1"/>
    <col min="6" max="6" width="12" bestFit="1" customWidth="1"/>
    <col min="7" max="7" width="9.83203125" bestFit="1" customWidth="1"/>
    <col min="8" max="8" width="37.1640625" bestFit="1" customWidth="1"/>
    <col min="9" max="9" width="9.1640625" bestFit="1" customWidth="1"/>
    <col min="10" max="10" width="12" bestFit="1" customWidth="1"/>
  </cols>
  <sheetData>
    <row r="1" spans="1:10" s="3" customForma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">
      <c r="A2" s="1">
        <v>3243314</v>
      </c>
      <c r="B2" s="1" t="s">
        <v>90</v>
      </c>
      <c r="C2" s="1" t="s">
        <v>91</v>
      </c>
      <c r="D2" s="1" t="s">
        <v>92</v>
      </c>
      <c r="E2" s="1" t="s">
        <v>10</v>
      </c>
      <c r="F2" s="1">
        <v>177</v>
      </c>
      <c r="G2" s="1" t="s">
        <v>13</v>
      </c>
      <c r="H2" s="1" t="s">
        <v>14</v>
      </c>
      <c r="I2" s="1">
        <v>27.9</v>
      </c>
      <c r="J2" s="1">
        <v>35.9</v>
      </c>
    </row>
    <row r="3" spans="1:10" x14ac:dyDescent="0.2">
      <c r="A3" s="1">
        <v>3470353</v>
      </c>
      <c r="B3" s="1">
        <v>527</v>
      </c>
      <c r="C3" s="1" t="s">
        <v>98</v>
      </c>
      <c r="D3" s="1" t="s">
        <v>99</v>
      </c>
      <c r="E3" s="1" t="s">
        <v>10</v>
      </c>
      <c r="F3" s="1">
        <v>175</v>
      </c>
      <c r="G3" s="1" t="s">
        <v>18</v>
      </c>
      <c r="H3" s="1" t="s">
        <v>14</v>
      </c>
      <c r="I3" s="1">
        <v>25.9</v>
      </c>
      <c r="J3" s="1">
        <v>39.9</v>
      </c>
    </row>
    <row r="4" spans="1:10" x14ac:dyDescent="0.2">
      <c r="A4" s="1">
        <v>3590311</v>
      </c>
      <c r="B4" s="1">
        <v>681</v>
      </c>
      <c r="C4" s="1" t="s">
        <v>72</v>
      </c>
      <c r="D4" s="1" t="s">
        <v>73</v>
      </c>
      <c r="E4" s="1" t="s">
        <v>10</v>
      </c>
      <c r="F4" s="1">
        <v>175</v>
      </c>
      <c r="G4" s="1" t="s">
        <v>29</v>
      </c>
      <c r="H4" s="1" t="s">
        <v>14</v>
      </c>
      <c r="I4" s="1">
        <v>17.899999999999999</v>
      </c>
      <c r="J4" s="1">
        <v>45.9</v>
      </c>
    </row>
    <row r="5" spans="1:10" x14ac:dyDescent="0.2">
      <c r="A5" s="1">
        <v>3678329</v>
      </c>
      <c r="B5" s="1" t="s">
        <v>151</v>
      </c>
      <c r="C5" s="1" t="s">
        <v>82</v>
      </c>
      <c r="D5" s="1" t="s">
        <v>83</v>
      </c>
      <c r="E5" s="1" t="s">
        <v>10</v>
      </c>
      <c r="F5" s="1">
        <v>173</v>
      </c>
      <c r="G5" s="1" t="s">
        <v>15</v>
      </c>
      <c r="H5" s="1" t="s">
        <v>14</v>
      </c>
      <c r="I5" s="1">
        <v>35.9</v>
      </c>
      <c r="J5" s="1">
        <v>47.9</v>
      </c>
    </row>
    <row r="6" spans="1:10" x14ac:dyDescent="0.2">
      <c r="A6" s="1">
        <v>4471308</v>
      </c>
      <c r="B6" s="1" t="s">
        <v>74</v>
      </c>
      <c r="C6" s="1" t="s">
        <v>19</v>
      </c>
      <c r="D6" s="1" t="s">
        <v>20</v>
      </c>
      <c r="E6" s="1" t="s">
        <v>10</v>
      </c>
      <c r="F6" s="1">
        <v>178</v>
      </c>
      <c r="G6" s="1" t="s">
        <v>18</v>
      </c>
      <c r="H6" s="1" t="s">
        <v>14</v>
      </c>
      <c r="I6" s="1">
        <v>25.9</v>
      </c>
      <c r="J6" s="1">
        <v>39.9</v>
      </c>
    </row>
    <row r="7" spans="1:10" x14ac:dyDescent="0.2">
      <c r="A7" s="1">
        <v>7234380</v>
      </c>
      <c r="B7" s="1">
        <v>671</v>
      </c>
      <c r="C7" s="1" t="s">
        <v>115</v>
      </c>
      <c r="D7" s="1" t="s">
        <v>116</v>
      </c>
      <c r="E7" s="1" t="s">
        <v>10</v>
      </c>
      <c r="F7" s="1">
        <v>173</v>
      </c>
      <c r="G7" s="1" t="s">
        <v>119</v>
      </c>
      <c r="H7" s="1" t="s">
        <v>14</v>
      </c>
      <c r="I7" s="1">
        <v>27.9</v>
      </c>
      <c r="J7" s="1">
        <v>35.9</v>
      </c>
    </row>
    <row r="8" spans="1:10" x14ac:dyDescent="0.2">
      <c r="A8" s="1">
        <v>7244362</v>
      </c>
      <c r="B8" s="1">
        <v>428</v>
      </c>
      <c r="C8" s="1" t="s">
        <v>68</v>
      </c>
      <c r="D8" s="1" t="s">
        <v>69</v>
      </c>
      <c r="E8" s="1" t="s">
        <v>10</v>
      </c>
      <c r="F8" s="1">
        <v>175</v>
      </c>
      <c r="G8" s="1" t="s">
        <v>13</v>
      </c>
      <c r="H8" s="1" t="s">
        <v>14</v>
      </c>
      <c r="I8" s="1">
        <v>35.9</v>
      </c>
      <c r="J8" s="1">
        <v>47.9</v>
      </c>
    </row>
    <row r="9" spans="1:10" x14ac:dyDescent="0.2">
      <c r="A9" s="1">
        <v>7244374</v>
      </c>
      <c r="B9" s="1" t="s">
        <v>145</v>
      </c>
      <c r="C9" s="1" t="s">
        <v>117</v>
      </c>
      <c r="D9" s="1" t="s">
        <v>118</v>
      </c>
      <c r="E9" s="1" t="s">
        <v>10</v>
      </c>
      <c r="F9" s="1">
        <v>174</v>
      </c>
      <c r="G9" s="1" t="s">
        <v>119</v>
      </c>
      <c r="H9" s="1" t="s">
        <v>14</v>
      </c>
      <c r="I9" s="1">
        <v>29.9</v>
      </c>
      <c r="J9" s="1">
        <v>39.9</v>
      </c>
    </row>
    <row r="10" spans="1:10" x14ac:dyDescent="0.2">
      <c r="A10" s="1">
        <v>7244383</v>
      </c>
      <c r="B10" s="1" t="s">
        <v>79</v>
      </c>
      <c r="C10" s="1" t="s">
        <v>80</v>
      </c>
      <c r="D10" s="1" t="s">
        <v>81</v>
      </c>
      <c r="E10" s="1" t="s">
        <v>10</v>
      </c>
      <c r="F10" s="1">
        <v>175</v>
      </c>
      <c r="G10" s="1" t="s">
        <v>13</v>
      </c>
      <c r="H10" s="1" t="s">
        <v>14</v>
      </c>
      <c r="I10" s="1">
        <v>17.899999999999999</v>
      </c>
      <c r="J10" s="1">
        <v>45.9</v>
      </c>
    </row>
    <row r="11" spans="1:10" x14ac:dyDescent="0.2">
      <c r="A11" s="1">
        <v>7390375</v>
      </c>
      <c r="B11" s="1" t="s">
        <v>84</v>
      </c>
      <c r="C11" s="1" t="s">
        <v>85</v>
      </c>
      <c r="D11" s="1" t="s">
        <v>86</v>
      </c>
      <c r="E11" s="1" t="s">
        <v>10</v>
      </c>
      <c r="F11" s="1">
        <v>174</v>
      </c>
      <c r="G11" s="1" t="s">
        <v>11</v>
      </c>
      <c r="H11" s="1" t="s">
        <v>14</v>
      </c>
      <c r="I11" s="1">
        <v>39.9</v>
      </c>
      <c r="J11" s="1">
        <v>53.9</v>
      </c>
    </row>
    <row r="12" spans="1:10" x14ac:dyDescent="0.2">
      <c r="A12" s="1">
        <v>7390394</v>
      </c>
      <c r="B12" s="1">
        <v>250</v>
      </c>
      <c r="C12" s="1" t="s">
        <v>152</v>
      </c>
      <c r="D12" s="1" t="s">
        <v>153</v>
      </c>
      <c r="E12" s="1" t="s">
        <v>10</v>
      </c>
      <c r="F12" s="1">
        <v>173</v>
      </c>
      <c r="G12" s="1" t="s">
        <v>11</v>
      </c>
      <c r="H12" s="1" t="s">
        <v>14</v>
      </c>
      <c r="I12" s="1">
        <v>22.9</v>
      </c>
      <c r="J12" s="1">
        <v>45.9</v>
      </c>
    </row>
    <row r="13" spans="1:10" x14ac:dyDescent="0.2">
      <c r="A13" s="1">
        <v>7396338</v>
      </c>
      <c r="B13" s="1">
        <v>400</v>
      </c>
      <c r="C13" s="1" t="s">
        <v>100</v>
      </c>
      <c r="D13" s="1" t="s">
        <v>101</v>
      </c>
      <c r="E13" s="1" t="s">
        <v>10</v>
      </c>
      <c r="F13" s="1">
        <v>175</v>
      </c>
      <c r="G13" s="1" t="s">
        <v>70</v>
      </c>
      <c r="H13" s="1" t="s">
        <v>14</v>
      </c>
      <c r="I13" s="1">
        <v>25.9</v>
      </c>
      <c r="J13" s="1">
        <v>39.9</v>
      </c>
    </row>
    <row r="14" spans="1:10" x14ac:dyDescent="0.2">
      <c r="A14" s="1">
        <v>7570302</v>
      </c>
      <c r="B14" s="1" t="s">
        <v>137</v>
      </c>
      <c r="C14" s="1" t="s">
        <v>132</v>
      </c>
      <c r="D14" s="1" t="s">
        <v>133</v>
      </c>
      <c r="E14" s="1" t="s">
        <v>10</v>
      </c>
      <c r="F14" s="1">
        <v>174</v>
      </c>
      <c r="G14" s="1" t="s">
        <v>134</v>
      </c>
      <c r="H14" s="1" t="s">
        <v>136</v>
      </c>
      <c r="I14" s="1">
        <v>35.9</v>
      </c>
      <c r="J14" s="1">
        <v>47.9</v>
      </c>
    </row>
    <row r="15" spans="1:10" x14ac:dyDescent="0.2">
      <c r="A15" s="1">
        <v>7593335</v>
      </c>
      <c r="B15" s="1" t="s">
        <v>93</v>
      </c>
      <c r="C15" s="1" t="s">
        <v>94</v>
      </c>
      <c r="D15" s="1" t="s">
        <v>95</v>
      </c>
      <c r="E15" s="1" t="s">
        <v>96</v>
      </c>
      <c r="F15" s="1">
        <v>177</v>
      </c>
      <c r="G15" s="1" t="s">
        <v>17</v>
      </c>
      <c r="H15" s="1" t="s">
        <v>97</v>
      </c>
      <c r="I15" s="1">
        <v>17.899999999999999</v>
      </c>
      <c r="J15" s="1">
        <v>35.9</v>
      </c>
    </row>
    <row r="16" spans="1:10" x14ac:dyDescent="0.2">
      <c r="A16" s="1">
        <v>7640311</v>
      </c>
      <c r="B16" s="1">
        <v>711</v>
      </c>
      <c r="C16" s="1" t="s">
        <v>138</v>
      </c>
      <c r="D16" s="1" t="s">
        <v>139</v>
      </c>
      <c r="E16" s="1" t="s">
        <v>10</v>
      </c>
      <c r="F16" s="1">
        <v>176</v>
      </c>
      <c r="G16" s="1" t="s">
        <v>141</v>
      </c>
      <c r="H16" s="1" t="s">
        <v>140</v>
      </c>
      <c r="I16" s="1">
        <v>45.9</v>
      </c>
      <c r="J16" s="1">
        <v>65.900000000000006</v>
      </c>
    </row>
    <row r="17" spans="1:10" x14ac:dyDescent="0.2">
      <c r="A17" s="1">
        <v>7686330</v>
      </c>
      <c r="B17" s="1" t="s">
        <v>78</v>
      </c>
      <c r="C17" s="1" t="s">
        <v>75</v>
      </c>
      <c r="D17" s="1" t="s">
        <v>76</v>
      </c>
      <c r="E17" s="1" t="s">
        <v>77</v>
      </c>
      <c r="F17" s="1">
        <v>178</v>
      </c>
      <c r="G17" s="1" t="s">
        <v>12</v>
      </c>
      <c r="H17" s="1" t="s">
        <v>154</v>
      </c>
      <c r="I17" s="1">
        <v>22.9</v>
      </c>
      <c r="J17" s="1">
        <v>35.9</v>
      </c>
    </row>
    <row r="18" spans="1:10" x14ac:dyDescent="0.2">
      <c r="A18" s="1">
        <v>7693326</v>
      </c>
      <c r="B18" s="1">
        <v>423</v>
      </c>
      <c r="C18" s="1" t="s">
        <v>121</v>
      </c>
      <c r="D18" s="1" t="s">
        <v>122</v>
      </c>
      <c r="E18" s="1" t="s">
        <v>10</v>
      </c>
      <c r="F18" s="1">
        <v>175</v>
      </c>
      <c r="G18" s="1" t="s">
        <v>124</v>
      </c>
      <c r="H18" s="1" t="s">
        <v>14</v>
      </c>
      <c r="I18" s="1">
        <v>29.9</v>
      </c>
      <c r="J18" s="1">
        <v>39.9</v>
      </c>
    </row>
    <row r="19" spans="1:10" x14ac:dyDescent="0.2">
      <c r="A19" s="1">
        <v>7693406</v>
      </c>
      <c r="B19" s="1" t="s">
        <v>127</v>
      </c>
      <c r="C19" s="1" t="s">
        <v>125</v>
      </c>
      <c r="D19" s="1" t="s">
        <v>126</v>
      </c>
      <c r="E19" s="1" t="s">
        <v>10</v>
      </c>
      <c r="F19" s="1">
        <v>175</v>
      </c>
      <c r="G19" s="1" t="s">
        <v>124</v>
      </c>
      <c r="H19" s="1" t="s">
        <v>14</v>
      </c>
      <c r="I19" s="1">
        <v>27.9</v>
      </c>
      <c r="J19" s="1">
        <v>35.9</v>
      </c>
    </row>
    <row r="20" spans="1:10" x14ac:dyDescent="0.2">
      <c r="A20" s="1">
        <v>7710322</v>
      </c>
      <c r="B20" s="1" t="s">
        <v>89</v>
      </c>
      <c r="C20" s="1" t="s">
        <v>88</v>
      </c>
      <c r="D20" s="1" t="s">
        <v>87</v>
      </c>
      <c r="E20" s="1" t="s">
        <v>10</v>
      </c>
      <c r="F20" s="1">
        <v>175</v>
      </c>
      <c r="G20" s="1" t="s">
        <v>16</v>
      </c>
      <c r="H20" s="1" t="s">
        <v>14</v>
      </c>
      <c r="I20" s="1">
        <v>45.9</v>
      </c>
      <c r="J20" s="1">
        <v>65.900000000000006</v>
      </c>
    </row>
    <row r="21" spans="1:10" x14ac:dyDescent="0.2">
      <c r="A21" s="1">
        <v>7803315</v>
      </c>
      <c r="B21" s="1">
        <v>615</v>
      </c>
      <c r="C21" s="1" t="s">
        <v>128</v>
      </c>
      <c r="D21" s="1" t="s">
        <v>129</v>
      </c>
      <c r="E21" s="1" t="s">
        <v>10</v>
      </c>
      <c r="F21" s="1">
        <v>175</v>
      </c>
      <c r="G21" s="1" t="s">
        <v>130</v>
      </c>
      <c r="H21" s="1" t="s">
        <v>14</v>
      </c>
      <c r="I21" s="1">
        <v>27.9</v>
      </c>
      <c r="J21" s="1">
        <v>35.9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39AF-C8AD-5E40-B508-86746E1E584C}">
  <sheetPr codeName="Sayfa2"/>
  <dimension ref="A1:Q101"/>
  <sheetViews>
    <sheetView workbookViewId="0"/>
  </sheetViews>
  <sheetFormatPr baseColWidth="10" defaultRowHeight="16" x14ac:dyDescent="0.2"/>
  <cols>
    <col min="1" max="1" width="8.1640625" bestFit="1" customWidth="1"/>
    <col min="2" max="2" width="6.6640625" bestFit="1" customWidth="1"/>
    <col min="3" max="3" width="9.83203125" bestFit="1" customWidth="1"/>
    <col min="4" max="4" width="13.83203125" bestFit="1" customWidth="1"/>
    <col min="5" max="5" width="11.83203125" bestFit="1" customWidth="1"/>
    <col min="6" max="6" width="42.6640625" bestFit="1" customWidth="1"/>
    <col min="7" max="7" width="14.33203125" customWidth="1"/>
    <col min="8" max="8" width="12.83203125" customWidth="1"/>
    <col min="9" max="9" width="10.1640625" customWidth="1"/>
    <col min="10" max="10" width="7.33203125" customWidth="1"/>
    <col min="11" max="11" width="9.1640625" bestFit="1" customWidth="1"/>
    <col min="12" max="12" width="12" bestFit="1" customWidth="1"/>
    <col min="13" max="13" width="11.33203125" style="5" bestFit="1" customWidth="1"/>
    <col min="14" max="14" width="13.83203125" style="6" bestFit="1" customWidth="1"/>
    <col min="15" max="15" width="9.83203125" bestFit="1" customWidth="1"/>
    <col min="16" max="16" width="50.33203125" style="6" bestFit="1" customWidth="1"/>
    <col min="17" max="17" width="41.5" bestFit="1" customWidth="1"/>
  </cols>
  <sheetData>
    <row r="1" spans="1:17" s="3" customFormat="1" x14ac:dyDescent="0.2">
      <c r="A1" s="2" t="s">
        <v>0</v>
      </c>
      <c r="B1" s="2" t="s">
        <v>1</v>
      </c>
      <c r="C1" s="2" t="s">
        <v>6</v>
      </c>
      <c r="D1" s="2" t="s">
        <v>21</v>
      </c>
      <c r="E1" s="2" t="s">
        <v>22</v>
      </c>
      <c r="F1" s="2" t="s">
        <v>23</v>
      </c>
      <c r="G1" s="2" t="s">
        <v>3</v>
      </c>
      <c r="H1" s="2" t="s">
        <v>24</v>
      </c>
      <c r="I1" s="2" t="s">
        <v>25</v>
      </c>
      <c r="J1" s="2" t="s">
        <v>7</v>
      </c>
      <c r="K1" s="2" t="s">
        <v>8</v>
      </c>
      <c r="L1" s="2" t="s">
        <v>9</v>
      </c>
      <c r="M1" s="7" t="s">
        <v>26</v>
      </c>
      <c r="N1" s="8" t="s">
        <v>21</v>
      </c>
      <c r="O1" s="2" t="s">
        <v>27</v>
      </c>
      <c r="P1" s="8" t="s">
        <v>24</v>
      </c>
      <c r="Q1" s="3" t="s">
        <v>102</v>
      </c>
    </row>
    <row r="2" spans="1:17" x14ac:dyDescent="0.2">
      <c r="A2" s="4">
        <v>3243314</v>
      </c>
      <c r="B2" s="12">
        <v>712</v>
      </c>
      <c r="C2" s="1" t="str">
        <f>IF(ISBLANK(A2),"",VLOOKUP(A2,products!A:G,7,0))</f>
        <v>T-Shirt</v>
      </c>
      <c r="D2" s="1" t="str">
        <f>IF(ISBLANK(A2),"",VLOOKUP(B2,M:N,2,0))</f>
        <v>Ecru</v>
      </c>
      <c r="E2" s="1" t="str">
        <f>IF(ISBLANK(A2),"",CONCATENATE(A2,"-",B2))</f>
        <v>3243314-712</v>
      </c>
      <c r="F2" s="1" t="str">
        <f>IF(ISBLANK(A2),"",CONCATENATE(VLOOKUP(A2,products!A:C,3,0)," ",LOWER(D2)))</f>
        <v>Rustic gathered top ecru</v>
      </c>
      <c r="G2" s="1" t="str">
        <f>IF(ISBLANK(A2),"",CONCATENATE("&lt;ul&gt;&lt;li&gt;Model size:  ",VLOOKUP(A2,products!A:E,5,0),"&lt;/li&gt;&lt;li&gt;Model height:  ",VLOOKUP(A2,products!A:F,6,0)," cm&lt;/li&gt;&lt;li&gt;Colour:  ",D2,"&lt;/li&gt;&lt;li&gt;",VLOOKUP(A2,products!A:D,4,0),"&lt;/li&gt;&lt;/ul&gt;"))</f>
        <v>&lt;ul&gt;&lt;li&gt;Model size:  S&lt;/li&gt;&lt;li&gt;Model height:  177 cm&lt;/li&gt;&lt;li&gt;Colour:  Ecru&lt;/li&gt;&lt;li&gt;Rustic sleeveless crepe T-shirt with gathered detail on the side and a crew neck. Made of stretch fabric.&lt;/li&gt;&lt;/ul&gt;</v>
      </c>
      <c r="H2" s="1" t="str">
        <f>IF(ISBLANK(A2),"",VLOOKUP(C2,O:P,2,0))</f>
        <v>T-shirts &gt; T-shirt, T-shirts</v>
      </c>
      <c r="I2" s="1" t="str">
        <f>IF(ISBLANK(A2),"",CONCATENATE($Q$2,E2,"-1.jpg, ",$Q$2,E2,"-2.jpg, ",$Q$2,E2,"-3.jpg, ",$Q$2,E2,"-4.jpg, ",$Q$2,E2,"-5.jpg, ",$Q$2,E2,"-6.jpg",))</f>
        <v>https://host.zackha.com/images-nuxtcommerce/3243314-712-1.jpg, https://host.zackha.com/images-nuxtcommerce/3243314-712-2.jpg, https://host.zackha.com/images-nuxtcommerce/3243314-712-3.jpg, https://host.zackha.com/images-nuxtcommerce/3243314-712-4.jpg, https://host.zackha.com/images-nuxtcommerce/3243314-712-5.jpg, https://host.zackha.com/images-nuxtcommerce/3243314-712-6.jpg</v>
      </c>
      <c r="J2" s="1" t="str">
        <f>IF(ISBLANK(A2),"",VLOOKUP(A2,products!A:H,8,0))</f>
        <v>XS, S, M, L, XL</v>
      </c>
      <c r="K2" s="1">
        <f>IF(ISBLANK(A2),"",VLOOKUP(A2,products!A:I,9,0))</f>
        <v>27.9</v>
      </c>
      <c r="L2" s="1">
        <f>IF(ISBLANK(A2),"",VLOOKUP(A2,products!A:J,10,0))</f>
        <v>35.9</v>
      </c>
      <c r="M2" s="9">
        <v>676</v>
      </c>
      <c r="N2" s="10" t="s">
        <v>28</v>
      </c>
      <c r="O2" s="1" t="s">
        <v>29</v>
      </c>
      <c r="P2" s="10" t="s">
        <v>30</v>
      </c>
      <c r="Q2" t="s">
        <v>103</v>
      </c>
    </row>
    <row r="3" spans="1:17" x14ac:dyDescent="0.2">
      <c r="A3" s="4">
        <v>3243314</v>
      </c>
      <c r="B3" s="12">
        <v>450</v>
      </c>
      <c r="C3" s="1" t="str">
        <f>IF(ISBLANK(A3),"",VLOOKUP(A3,products!A:G,7,0))</f>
        <v>T-Shirt</v>
      </c>
      <c r="D3" s="1" t="str">
        <f t="shared" ref="D3:D66" si="0">IF(ISBLANK(A3),"",VLOOKUP(B3,M:N,2,0))</f>
        <v>Beige</v>
      </c>
      <c r="E3" s="1" t="str">
        <f t="shared" ref="E3:E66" si="1">IF(ISBLANK(A3),"",CONCATENATE(A3,"-",B3))</f>
        <v>3243314-450</v>
      </c>
      <c r="F3" s="1" t="str">
        <f>IF(ISBLANK(A3),"",CONCATENATE(VLOOKUP(A3,products!A:C,3,0)," ",LOWER(D3)))</f>
        <v>Rustic gathered top beige</v>
      </c>
      <c r="G3" s="1" t="str">
        <f>IF(ISBLANK(A3),"",CONCATENATE("&lt;ul&gt;&lt;li&gt;Model size:  ",VLOOKUP(A3,products!A:E,5,0),"&lt;/li&gt;&lt;li&gt;Model height:  ",VLOOKUP(A3,products!A:F,6,0)," cm&lt;/li&gt;&lt;li&gt;Colour:  ",D3,"&lt;/li&gt;&lt;li&gt;",VLOOKUP(A3,products!A:D,4,0),"&lt;/li&gt;&lt;/ul&gt;"))</f>
        <v>&lt;ul&gt;&lt;li&gt;Model size:  S&lt;/li&gt;&lt;li&gt;Model height:  177 cm&lt;/li&gt;&lt;li&gt;Colour:  Beige&lt;/li&gt;&lt;li&gt;Rustic sleeveless crepe T-shirt with gathered detail on the side and a crew neck. Made of stretch fabric.&lt;/li&gt;&lt;/ul&gt;</v>
      </c>
      <c r="H3" s="1" t="str">
        <f t="shared" ref="H3:H66" si="2">IF(ISBLANK(A3),"",VLOOKUP(C3,O:P,2,0))</f>
        <v>T-shirts &gt; T-shirt, T-shirts</v>
      </c>
      <c r="I3" s="1" t="str">
        <f t="shared" ref="I3:I66" si="3">IF(ISBLANK(A3),"",CONCATENATE($Q$2,E3,"-1.jpg, ",$Q$2,E3,"-2.jpg, ",$Q$2,E3,"-3.jpg, ",$Q$2,E3,"-4.jpg, ",$Q$2,E3,"-5.jpg, ",$Q$2,E3,"-6.jpg",))</f>
        <v>https://host.zackha.com/images-nuxtcommerce/3243314-450-1.jpg, https://host.zackha.com/images-nuxtcommerce/3243314-450-2.jpg, https://host.zackha.com/images-nuxtcommerce/3243314-450-3.jpg, https://host.zackha.com/images-nuxtcommerce/3243314-450-4.jpg, https://host.zackha.com/images-nuxtcommerce/3243314-450-5.jpg, https://host.zackha.com/images-nuxtcommerce/3243314-450-6.jpg</v>
      </c>
      <c r="J3" s="1" t="str">
        <f>IF(ISBLANK(A3),"",VLOOKUP(A3,products!A:H,8,0))</f>
        <v>XS, S, M, L, XL</v>
      </c>
      <c r="K3" s="1">
        <f>IF(ISBLANK(A3),"",VLOOKUP(A3,products!A:I,9,0))</f>
        <v>27.9</v>
      </c>
      <c r="L3" s="1">
        <f>IF(ISBLANK(A3),"",VLOOKUP(A3,products!A:J,10,0))</f>
        <v>35.9</v>
      </c>
      <c r="M3" s="9">
        <v>806</v>
      </c>
      <c r="N3" s="10" t="s">
        <v>31</v>
      </c>
      <c r="O3" s="1" t="s">
        <v>17</v>
      </c>
      <c r="P3" s="10" t="s">
        <v>32</v>
      </c>
    </row>
    <row r="4" spans="1:17" x14ac:dyDescent="0.2">
      <c r="A4" s="4">
        <v>3243314</v>
      </c>
      <c r="B4" s="12">
        <v>505</v>
      </c>
      <c r="C4" s="1" t="str">
        <f>IF(ISBLANK(A4),"",VLOOKUP(A4,products!A:G,7,0))</f>
        <v>T-Shirt</v>
      </c>
      <c r="D4" s="1" t="str">
        <f t="shared" si="0"/>
        <v>Khaki</v>
      </c>
      <c r="E4" s="1" t="str">
        <f t="shared" si="1"/>
        <v>3243314-505</v>
      </c>
      <c r="F4" s="1" t="str">
        <f>IF(ISBLANK(A4),"",CONCATENATE(VLOOKUP(A4,products!A:C,3,0)," ",LOWER(D4)))</f>
        <v>Rustic gathered top khaki</v>
      </c>
      <c r="G4" s="1" t="str">
        <f>IF(ISBLANK(A4),"",CONCATENATE("&lt;ul&gt;&lt;li&gt;Model size:  ",VLOOKUP(A4,products!A:E,5,0),"&lt;/li&gt;&lt;li&gt;Model height:  ",VLOOKUP(A4,products!A:F,6,0)," cm&lt;/li&gt;&lt;li&gt;Colour:  ",D4,"&lt;/li&gt;&lt;li&gt;",VLOOKUP(A4,products!A:D,4,0),"&lt;/li&gt;&lt;/ul&gt;"))</f>
        <v>&lt;ul&gt;&lt;li&gt;Model size:  S&lt;/li&gt;&lt;li&gt;Model height:  177 cm&lt;/li&gt;&lt;li&gt;Colour:  Khaki&lt;/li&gt;&lt;li&gt;Rustic sleeveless crepe T-shirt with gathered detail on the side and a crew neck. Made of stretch fabric.&lt;/li&gt;&lt;/ul&gt;</v>
      </c>
      <c r="H4" s="1" t="str">
        <f t="shared" si="2"/>
        <v>T-shirts &gt; T-shirt, T-shirts</v>
      </c>
      <c r="I4" s="1" t="str">
        <f t="shared" si="3"/>
        <v>https://host.zackha.com/images-nuxtcommerce/3243314-505-1.jpg, https://host.zackha.com/images-nuxtcommerce/3243314-505-2.jpg, https://host.zackha.com/images-nuxtcommerce/3243314-505-3.jpg, https://host.zackha.com/images-nuxtcommerce/3243314-505-4.jpg, https://host.zackha.com/images-nuxtcommerce/3243314-505-5.jpg, https://host.zackha.com/images-nuxtcommerce/3243314-505-6.jpg</v>
      </c>
      <c r="J4" s="1" t="str">
        <f>IF(ISBLANK(A4),"",VLOOKUP(A4,products!A:H,8,0))</f>
        <v>XS, S, M, L, XL</v>
      </c>
      <c r="K4" s="1">
        <f>IF(ISBLANK(A4),"",VLOOKUP(A4,products!A:I,9,0))</f>
        <v>27.9</v>
      </c>
      <c r="L4" s="1">
        <f>IF(ISBLANK(A4),"",VLOOKUP(A4,products!A:J,10,0))</f>
        <v>35.9</v>
      </c>
      <c r="M4" s="9">
        <v>819</v>
      </c>
      <c r="N4" s="10" t="s">
        <v>33</v>
      </c>
      <c r="O4" s="1" t="s">
        <v>11</v>
      </c>
      <c r="P4" s="10" t="s">
        <v>34</v>
      </c>
    </row>
    <row r="5" spans="1:17" x14ac:dyDescent="0.2">
      <c r="A5" s="4">
        <v>3470353</v>
      </c>
      <c r="B5" s="12">
        <v>527</v>
      </c>
      <c r="C5" s="1" t="str">
        <f>IF(ISBLANK(A5),"",VLOOKUP(A5,products!A:G,7,0))</f>
        <v>Shirt</v>
      </c>
      <c r="D5" s="1" t="str">
        <f t="shared" si="0"/>
        <v>Medium Green</v>
      </c>
      <c r="E5" s="1" t="str">
        <f t="shared" si="1"/>
        <v>3470353-527</v>
      </c>
      <c r="F5" s="1" t="str">
        <f>IF(ISBLANK(A5),"",CONCATENATE(VLOOKUP(A5,products!A:C,3,0)," ",LOWER(D5)))</f>
        <v>Rustic crossed blouse medium green</v>
      </c>
      <c r="G5" s="1" t="str">
        <f>IF(ISBLANK(A5),"",CONCATENATE("&lt;ul&gt;&lt;li&gt;Model size:  ",VLOOKUP(A5,products!A:E,5,0),"&lt;/li&gt;&lt;li&gt;Model height:  ",VLOOKUP(A5,products!A:F,6,0)," cm&lt;/li&gt;&lt;li&gt;Colour:  ",D5,"&lt;/li&gt;&lt;li&gt;",VLOOKUP(A5,products!A:D,4,0),"&lt;/li&gt;&lt;/ul&gt;"))</f>
        <v>&lt;ul&gt;&lt;li&gt;Model size:  S&lt;/li&gt;&lt;li&gt;Model height:  175 cm&lt;/li&gt;&lt;li&gt;Colour:  Medium Green&lt;/li&gt;&lt;li&gt;Rustic crossed blouse with button fastening and long sleeves. Made of cotton.&lt;/li&gt;&lt;/ul&gt;</v>
      </c>
      <c r="H5" s="1" t="str">
        <f t="shared" si="2"/>
        <v>Blouses &amp; Shirts &gt; Shirts, Blouses &amp; Shirts</v>
      </c>
      <c r="I5" s="1" t="str">
        <f t="shared" si="3"/>
        <v>https://host.zackha.com/images-nuxtcommerce/3470353-527-1.jpg, https://host.zackha.com/images-nuxtcommerce/3470353-527-2.jpg, https://host.zackha.com/images-nuxtcommerce/3470353-527-3.jpg, https://host.zackha.com/images-nuxtcommerce/3470353-527-4.jpg, https://host.zackha.com/images-nuxtcommerce/3470353-527-5.jpg, https://host.zackha.com/images-nuxtcommerce/3470353-527-6.jpg</v>
      </c>
      <c r="J5" s="1" t="str">
        <f>IF(ISBLANK(A5),"",VLOOKUP(A5,products!A:H,8,0))</f>
        <v>XS, S, M, L, XL</v>
      </c>
      <c r="K5" s="1">
        <f>IF(ISBLANK(A5),"",VLOOKUP(A5,products!A:I,9,0))</f>
        <v>25.9</v>
      </c>
      <c r="L5" s="1">
        <f>IF(ISBLANK(A5),"",VLOOKUP(A5,products!A:J,10,0))</f>
        <v>39.9</v>
      </c>
      <c r="M5" s="9">
        <v>807</v>
      </c>
      <c r="N5" s="10" t="s">
        <v>35</v>
      </c>
      <c r="O5" s="1" t="s">
        <v>12</v>
      </c>
      <c r="P5" s="10" t="s">
        <v>36</v>
      </c>
    </row>
    <row r="6" spans="1:17" x14ac:dyDescent="0.2">
      <c r="A6" s="4">
        <v>3590311</v>
      </c>
      <c r="B6" s="12">
        <v>681</v>
      </c>
      <c r="C6" s="1" t="str">
        <f>IF(ISBLANK(A6),"",VLOOKUP(A6,products!A:G,7,0))</f>
        <v>Hoodie</v>
      </c>
      <c r="D6" s="1" t="str">
        <f t="shared" si="0"/>
        <v>Burgundy</v>
      </c>
      <c r="E6" s="1" t="str">
        <f t="shared" si="1"/>
        <v>3590311-681</v>
      </c>
      <c r="F6" s="1" t="str">
        <f>IF(ISBLANK(A6),"",CONCATENATE(VLOOKUP(A6,products!A:C,3,0)," ",LOWER(D6)))</f>
        <v>Chicago hoodie burgundy</v>
      </c>
      <c r="G6" s="1" t="str">
        <f>IF(ISBLANK(A6),"",CONCATENATE("&lt;ul&gt;&lt;li&gt;Model size:  ",VLOOKUP(A6,products!A:E,5,0),"&lt;/li&gt;&lt;li&gt;Model height:  ",VLOOKUP(A6,products!A:F,6,0)," cm&lt;/li&gt;&lt;li&gt;Colour:  ",D6,"&lt;/li&gt;&lt;li&gt;",VLOOKUP(A6,products!A:D,4,0),"&lt;/li&gt;&lt;/ul&gt;"))</f>
        <v>&lt;ul&gt;&lt;li&gt;Model size:  S&lt;/li&gt;&lt;li&gt;Model height:  175 cm&lt;/li&gt;&lt;li&gt;Colour:  Burgundy&lt;/li&gt;&lt;li&gt;Hoodie with adjustable drawstrings, a pouch pocket and Chicago slogan print.&lt;/li&gt;&lt;/ul&gt;</v>
      </c>
      <c r="H6" s="1" t="str">
        <f t="shared" si="2"/>
        <v>Sweatshirts &amp; Hoodies &gt; Hoodies, Sweatshirts &amp; Hoodies</v>
      </c>
      <c r="I6" s="1" t="str">
        <f t="shared" si="3"/>
        <v>https://host.zackha.com/images-nuxtcommerce/3590311-681-1.jpg, https://host.zackha.com/images-nuxtcommerce/3590311-681-2.jpg, https://host.zackha.com/images-nuxtcommerce/3590311-681-3.jpg, https://host.zackha.com/images-nuxtcommerce/3590311-681-4.jpg, https://host.zackha.com/images-nuxtcommerce/3590311-681-5.jpg, https://host.zackha.com/images-nuxtcommerce/3590311-681-6.jpg</v>
      </c>
      <c r="J6" s="1" t="str">
        <f>IF(ISBLANK(A6),"",VLOOKUP(A6,products!A:H,8,0))</f>
        <v>XS, S, M, L, XL</v>
      </c>
      <c r="K6" s="1">
        <f>IF(ISBLANK(A6),"",VLOOKUP(A6,products!A:I,9,0))</f>
        <v>17.899999999999999</v>
      </c>
      <c r="L6" s="1">
        <f>IF(ISBLANK(A6),"",VLOOKUP(A6,products!A:J,10,0))</f>
        <v>45.9</v>
      </c>
      <c r="M6" s="9">
        <v>805</v>
      </c>
      <c r="N6" s="10" t="s">
        <v>37</v>
      </c>
      <c r="O6" s="1" t="s">
        <v>15</v>
      </c>
      <c r="P6" s="10" t="s">
        <v>38</v>
      </c>
    </row>
    <row r="7" spans="1:17" x14ac:dyDescent="0.2">
      <c r="A7" s="4">
        <v>3678329</v>
      </c>
      <c r="B7" s="12">
        <v>250</v>
      </c>
      <c r="C7" s="1" t="str">
        <f>IF(ISBLANK(A7),"",VLOOKUP(A7,products!A:G,7,0))</f>
        <v>Pant</v>
      </c>
      <c r="D7" s="1" t="str">
        <f t="shared" si="0"/>
        <v>White</v>
      </c>
      <c r="E7" s="1" t="str">
        <f t="shared" si="1"/>
        <v>3678329-250</v>
      </c>
      <c r="F7" s="1" t="str">
        <f>IF(ISBLANK(A7),"",CONCATENATE(VLOOKUP(A7,products!A:C,3,0)," ",LOWER(D7)))</f>
        <v>Flowy pants with linen white</v>
      </c>
      <c r="G7" s="1" t="str">
        <f>IF(ISBLANK(A7),"",CONCATENATE("&lt;ul&gt;&lt;li&gt;Model size:  ",VLOOKUP(A7,products!A:E,5,0),"&lt;/li&gt;&lt;li&gt;Model height:  ",VLOOKUP(A7,products!A:F,6,0)," cm&lt;/li&gt;&lt;li&gt;Colour:  ",D7,"&lt;/li&gt;&lt;li&gt;",VLOOKUP(A7,products!A:D,4,0),"&lt;/li&gt;&lt;/ul&gt;"))</f>
        <v>&lt;ul&gt;&lt;li&gt;Model size:  S&lt;/li&gt;&lt;li&gt;Model height:  173 cm&lt;/li&gt;&lt;li&gt;Colour:  White&lt;/li&gt;&lt;li&gt;Flowing rustic pants with an elasticated waistband. Made from a viscose and linen blend.&lt;/li&gt;&lt;/ul&gt;</v>
      </c>
      <c r="H7" s="1" t="str">
        <f t="shared" si="2"/>
        <v>Pants &gt; Pant, Pants</v>
      </c>
      <c r="I7" s="1" t="str">
        <f t="shared" si="3"/>
        <v>https://host.zackha.com/images-nuxtcommerce/3678329-250-1.jpg, https://host.zackha.com/images-nuxtcommerce/3678329-250-2.jpg, https://host.zackha.com/images-nuxtcommerce/3678329-250-3.jpg, https://host.zackha.com/images-nuxtcommerce/3678329-250-4.jpg, https://host.zackha.com/images-nuxtcommerce/3678329-250-5.jpg, https://host.zackha.com/images-nuxtcommerce/3678329-250-6.jpg</v>
      </c>
      <c r="J7" s="1" t="str">
        <f>IF(ISBLANK(A7),"",VLOOKUP(A7,products!A:H,8,0))</f>
        <v>XS, S, M, L, XL</v>
      </c>
      <c r="K7" s="1">
        <f>IF(ISBLANK(A7),"",VLOOKUP(A7,products!A:I,9,0))</f>
        <v>35.9</v>
      </c>
      <c r="L7" s="1">
        <f>IF(ISBLANK(A7),"",VLOOKUP(A7,products!A:J,10,0))</f>
        <v>47.9</v>
      </c>
      <c r="M7" s="9">
        <v>803</v>
      </c>
      <c r="N7" s="10" t="s">
        <v>39</v>
      </c>
      <c r="O7" s="1" t="s">
        <v>18</v>
      </c>
      <c r="P7" s="10" t="s">
        <v>40</v>
      </c>
    </row>
    <row r="8" spans="1:17" x14ac:dyDescent="0.2">
      <c r="A8" s="4">
        <v>3678329</v>
      </c>
      <c r="B8" s="12">
        <v>800</v>
      </c>
      <c r="C8" s="1" t="str">
        <f>IF(ISBLANK(A8),"",VLOOKUP(A8,products!A:G,7,0))</f>
        <v>Pant</v>
      </c>
      <c r="D8" s="1" t="str">
        <f t="shared" si="0"/>
        <v>Black</v>
      </c>
      <c r="E8" s="1" t="str">
        <f t="shared" si="1"/>
        <v>3678329-800</v>
      </c>
      <c r="F8" s="1" t="str">
        <f>IF(ISBLANK(A8),"",CONCATENATE(VLOOKUP(A8,products!A:C,3,0)," ",LOWER(D8)))</f>
        <v>Flowy pants with linen black</v>
      </c>
      <c r="G8" s="1" t="str">
        <f>IF(ISBLANK(A8),"",CONCATENATE("&lt;ul&gt;&lt;li&gt;Model size:  ",VLOOKUP(A8,products!A:E,5,0),"&lt;/li&gt;&lt;li&gt;Model height:  ",VLOOKUP(A8,products!A:F,6,0)," cm&lt;/li&gt;&lt;li&gt;Colour:  ",D8,"&lt;/li&gt;&lt;li&gt;",VLOOKUP(A8,products!A:D,4,0),"&lt;/li&gt;&lt;/ul&gt;"))</f>
        <v>&lt;ul&gt;&lt;li&gt;Model size:  S&lt;/li&gt;&lt;li&gt;Model height:  173 cm&lt;/li&gt;&lt;li&gt;Colour:  Black&lt;/li&gt;&lt;li&gt;Flowing rustic pants with an elasticated waistband. Made from a viscose and linen blend.&lt;/li&gt;&lt;/ul&gt;</v>
      </c>
      <c r="H8" s="1" t="str">
        <f t="shared" si="2"/>
        <v>Pants &gt; Pant, Pants</v>
      </c>
      <c r="I8" s="1" t="str">
        <f t="shared" si="3"/>
        <v>https://host.zackha.com/images-nuxtcommerce/3678329-800-1.jpg, https://host.zackha.com/images-nuxtcommerce/3678329-800-2.jpg, https://host.zackha.com/images-nuxtcommerce/3678329-800-3.jpg, https://host.zackha.com/images-nuxtcommerce/3678329-800-4.jpg, https://host.zackha.com/images-nuxtcommerce/3678329-800-5.jpg, https://host.zackha.com/images-nuxtcommerce/3678329-800-6.jpg</v>
      </c>
      <c r="J8" s="1" t="str">
        <f>IF(ISBLANK(A8),"",VLOOKUP(A8,products!A:H,8,0))</f>
        <v>XS, S, M, L, XL</v>
      </c>
      <c r="K8" s="1">
        <f>IF(ISBLANK(A8),"",VLOOKUP(A8,products!A:I,9,0))</f>
        <v>35.9</v>
      </c>
      <c r="L8" s="1">
        <f>IF(ISBLANK(A8),"",VLOOKUP(A8,products!A:J,10,0))</f>
        <v>47.9</v>
      </c>
      <c r="M8" s="9">
        <v>620</v>
      </c>
      <c r="N8" s="10" t="s">
        <v>41</v>
      </c>
      <c r="O8" s="1" t="s">
        <v>42</v>
      </c>
      <c r="P8" s="10" t="s">
        <v>43</v>
      </c>
    </row>
    <row r="9" spans="1:17" x14ac:dyDescent="0.2">
      <c r="A9" s="4">
        <v>3678329</v>
      </c>
      <c r="B9" s="12">
        <v>832</v>
      </c>
      <c r="C9" s="1" t="str">
        <f>IF(ISBLANK(A9),"",VLOOKUP(A9,products!A:G,7,0))</f>
        <v>Pant</v>
      </c>
      <c r="D9" s="1" t="str">
        <f t="shared" si="0"/>
        <v>Taupe</v>
      </c>
      <c r="E9" s="1" t="str">
        <f t="shared" si="1"/>
        <v>3678329-832</v>
      </c>
      <c r="F9" s="1" t="str">
        <f>IF(ISBLANK(A9),"",CONCATENATE(VLOOKUP(A9,products!A:C,3,0)," ",LOWER(D9)))</f>
        <v>Flowy pants with linen taupe</v>
      </c>
      <c r="G9" s="1" t="str">
        <f>IF(ISBLANK(A9),"",CONCATENATE("&lt;ul&gt;&lt;li&gt;Model size:  ",VLOOKUP(A9,products!A:E,5,0),"&lt;/li&gt;&lt;li&gt;Model height:  ",VLOOKUP(A9,products!A:F,6,0)," cm&lt;/li&gt;&lt;li&gt;Colour:  ",D9,"&lt;/li&gt;&lt;li&gt;",VLOOKUP(A9,products!A:D,4,0),"&lt;/li&gt;&lt;/ul&gt;"))</f>
        <v>&lt;ul&gt;&lt;li&gt;Model size:  S&lt;/li&gt;&lt;li&gt;Model height:  173 cm&lt;/li&gt;&lt;li&gt;Colour:  Taupe&lt;/li&gt;&lt;li&gt;Flowing rustic pants with an elasticated waistband. Made from a viscose and linen blend.&lt;/li&gt;&lt;/ul&gt;</v>
      </c>
      <c r="H9" s="1" t="str">
        <f t="shared" si="2"/>
        <v>Pants &gt; Pant, Pants</v>
      </c>
      <c r="I9" s="1" t="str">
        <f t="shared" si="3"/>
        <v>https://host.zackha.com/images-nuxtcommerce/3678329-832-1.jpg, https://host.zackha.com/images-nuxtcommerce/3678329-832-2.jpg, https://host.zackha.com/images-nuxtcommerce/3678329-832-3.jpg, https://host.zackha.com/images-nuxtcommerce/3678329-832-4.jpg, https://host.zackha.com/images-nuxtcommerce/3678329-832-5.jpg, https://host.zackha.com/images-nuxtcommerce/3678329-832-6.jpg</v>
      </c>
      <c r="J9" s="1" t="str">
        <f>IF(ISBLANK(A9),"",VLOOKUP(A9,products!A:H,8,0))</f>
        <v>XS, S, M, L, XL</v>
      </c>
      <c r="K9" s="1">
        <f>IF(ISBLANK(A9),"",VLOOKUP(A9,products!A:I,9,0))</f>
        <v>35.9</v>
      </c>
      <c r="L9" s="1">
        <f>IF(ISBLANK(A9),"",VLOOKUP(A9,products!A:J,10,0))</f>
        <v>47.9</v>
      </c>
      <c r="M9" s="9">
        <v>513</v>
      </c>
      <c r="N9" s="10" t="s">
        <v>44</v>
      </c>
      <c r="O9" s="1" t="s">
        <v>16</v>
      </c>
      <c r="P9" s="10" t="s">
        <v>45</v>
      </c>
    </row>
    <row r="10" spans="1:17" x14ac:dyDescent="0.2">
      <c r="A10" s="4">
        <v>3678329</v>
      </c>
      <c r="B10" s="12">
        <v>600</v>
      </c>
      <c r="C10" s="1" t="str">
        <f>IF(ISBLANK(A10),"",VLOOKUP(A10,products!A:G,7,0))</f>
        <v>Pant</v>
      </c>
      <c r="D10" s="1" t="str">
        <f t="shared" si="0"/>
        <v>Red</v>
      </c>
      <c r="E10" s="1" t="str">
        <f t="shared" si="1"/>
        <v>3678329-600</v>
      </c>
      <c r="F10" s="1" t="str">
        <f>IF(ISBLANK(A10),"",CONCATENATE(VLOOKUP(A10,products!A:C,3,0)," ",LOWER(D10)))</f>
        <v>Flowy pants with linen red</v>
      </c>
      <c r="G10" s="1" t="str">
        <f>IF(ISBLANK(A10),"",CONCATENATE("&lt;ul&gt;&lt;li&gt;Model size:  ",VLOOKUP(A10,products!A:E,5,0),"&lt;/li&gt;&lt;li&gt;Model height:  ",VLOOKUP(A10,products!A:F,6,0)," cm&lt;/li&gt;&lt;li&gt;Colour:  ",D10,"&lt;/li&gt;&lt;li&gt;",VLOOKUP(A10,products!A:D,4,0),"&lt;/li&gt;&lt;/ul&gt;"))</f>
        <v>&lt;ul&gt;&lt;li&gt;Model size:  S&lt;/li&gt;&lt;li&gt;Model height:  173 cm&lt;/li&gt;&lt;li&gt;Colour:  Red&lt;/li&gt;&lt;li&gt;Flowing rustic pants with an elasticated waistband. Made from a viscose and linen blend.&lt;/li&gt;&lt;/ul&gt;</v>
      </c>
      <c r="H10" s="1" t="str">
        <f t="shared" si="2"/>
        <v>Pants &gt; Pant, Pants</v>
      </c>
      <c r="I10" s="1" t="str">
        <f t="shared" si="3"/>
        <v>https://host.zackha.com/images-nuxtcommerce/3678329-600-1.jpg, https://host.zackha.com/images-nuxtcommerce/3678329-600-2.jpg, https://host.zackha.com/images-nuxtcommerce/3678329-600-3.jpg, https://host.zackha.com/images-nuxtcommerce/3678329-600-4.jpg, https://host.zackha.com/images-nuxtcommerce/3678329-600-5.jpg, https://host.zackha.com/images-nuxtcommerce/3678329-600-6.jpg</v>
      </c>
      <c r="J10" s="1" t="str">
        <f>IF(ISBLANK(A10),"",VLOOKUP(A10,products!A:H,8,0))</f>
        <v>XS, S, M, L, XL</v>
      </c>
      <c r="K10" s="1">
        <f>IF(ISBLANK(A10),"",VLOOKUP(A10,products!A:I,9,0))</f>
        <v>35.9</v>
      </c>
      <c r="L10" s="1">
        <f>IF(ISBLANK(A10),"",VLOOKUP(A10,products!A:J,10,0))</f>
        <v>47.9</v>
      </c>
      <c r="M10" s="9">
        <v>983</v>
      </c>
      <c r="N10" s="10" t="s">
        <v>46</v>
      </c>
      <c r="O10" s="1" t="s">
        <v>70</v>
      </c>
      <c r="P10" s="10" t="s">
        <v>71</v>
      </c>
    </row>
    <row r="11" spans="1:17" x14ac:dyDescent="0.2">
      <c r="A11" s="4">
        <v>3678329</v>
      </c>
      <c r="B11" s="12">
        <v>620</v>
      </c>
      <c r="C11" s="1" t="str">
        <f>IF(ISBLANK(A11),"",VLOOKUP(A11,products!A:G,7,0))</f>
        <v>Pant</v>
      </c>
      <c r="D11" s="1" t="str">
        <f t="shared" si="0"/>
        <v>Pink</v>
      </c>
      <c r="E11" s="1" t="str">
        <f t="shared" si="1"/>
        <v>3678329-620</v>
      </c>
      <c r="F11" s="1" t="str">
        <f>IF(ISBLANK(A11),"",CONCATENATE(VLOOKUP(A11,products!A:C,3,0)," ",LOWER(D11)))</f>
        <v>Flowy pants with linen pink</v>
      </c>
      <c r="G11" s="1" t="str">
        <f>IF(ISBLANK(A11),"",CONCATENATE("&lt;ul&gt;&lt;li&gt;Model size:  ",VLOOKUP(A11,products!A:E,5,0),"&lt;/li&gt;&lt;li&gt;Model height:  ",VLOOKUP(A11,products!A:F,6,0)," cm&lt;/li&gt;&lt;li&gt;Colour:  ",D11,"&lt;/li&gt;&lt;li&gt;",VLOOKUP(A11,products!A:D,4,0),"&lt;/li&gt;&lt;/ul&gt;"))</f>
        <v>&lt;ul&gt;&lt;li&gt;Model size:  S&lt;/li&gt;&lt;li&gt;Model height:  173 cm&lt;/li&gt;&lt;li&gt;Colour:  Pink&lt;/li&gt;&lt;li&gt;Flowing rustic pants with an elasticated waistband. Made from a viscose and linen blend.&lt;/li&gt;&lt;/ul&gt;</v>
      </c>
      <c r="H11" s="1" t="str">
        <f t="shared" si="2"/>
        <v>Pants &gt; Pant, Pants</v>
      </c>
      <c r="I11" s="1" t="str">
        <f t="shared" si="3"/>
        <v>https://host.zackha.com/images-nuxtcommerce/3678329-620-1.jpg, https://host.zackha.com/images-nuxtcommerce/3678329-620-2.jpg, https://host.zackha.com/images-nuxtcommerce/3678329-620-3.jpg, https://host.zackha.com/images-nuxtcommerce/3678329-620-4.jpg, https://host.zackha.com/images-nuxtcommerce/3678329-620-5.jpg, https://host.zackha.com/images-nuxtcommerce/3678329-620-6.jpg</v>
      </c>
      <c r="J11" s="1" t="str">
        <f>IF(ISBLANK(A11),"",VLOOKUP(A11,products!A:H,8,0))</f>
        <v>XS, S, M, L, XL</v>
      </c>
      <c r="K11" s="1">
        <f>IF(ISBLANK(A11),"",VLOOKUP(A11,products!A:I,9,0))</f>
        <v>35.9</v>
      </c>
      <c r="L11" s="1">
        <f>IF(ISBLANK(A11),"",VLOOKUP(A11,products!A:J,10,0))</f>
        <v>47.9</v>
      </c>
      <c r="M11" s="9">
        <v>800</v>
      </c>
      <c r="N11" s="10" t="s">
        <v>47</v>
      </c>
      <c r="O11" s="4" t="s">
        <v>119</v>
      </c>
      <c r="P11" s="10" t="s">
        <v>120</v>
      </c>
    </row>
    <row r="12" spans="1:17" x14ac:dyDescent="0.2">
      <c r="A12" s="4">
        <v>4471308</v>
      </c>
      <c r="B12" s="12">
        <v>155</v>
      </c>
      <c r="C12" s="1" t="str">
        <f>IF(ISBLANK(A12),"",VLOOKUP(A12,products!A:G,7,0))</f>
        <v>Shirt</v>
      </c>
      <c r="D12" s="1" t="str">
        <f t="shared" si="0"/>
        <v>Grey/Blue</v>
      </c>
      <c r="E12" s="1" t="str">
        <f t="shared" si="1"/>
        <v>4471308-155</v>
      </c>
      <c r="F12" s="1" t="str">
        <f>IF(ISBLANK(A12),"",CONCATENATE(VLOOKUP(A12,products!A:C,3,0)," ",LOWER(D12)))</f>
        <v>Rustic Oversized Shirt grey/blue</v>
      </c>
      <c r="G12" s="1" t="str">
        <f>IF(ISBLANK(A12),"",CONCATENATE("&lt;ul&gt;&lt;li&gt;Model size:  ",VLOOKUP(A12,products!A:E,5,0),"&lt;/li&gt;&lt;li&gt;Model height:  ",VLOOKUP(A12,products!A:F,6,0)," cm&lt;/li&gt;&lt;li&gt;Colour:  ",D12,"&lt;/li&gt;&lt;li&gt;",VLOOKUP(A12,products!A:D,4,0),"&lt;/li&gt;&lt;/ul&gt;"))</f>
        <v>&lt;ul&gt;&lt;li&gt;Model size:  S&lt;/li&gt;&lt;li&gt;Model height:  178 cm&lt;/li&gt;&lt;li&gt;Colour:  Grey/Blue&lt;/li&gt;&lt;li&gt;Rustic oversize shirt with a Kent collar, long sleeves, a pocket and button fastening.&lt;/li&gt;&lt;/ul&gt;</v>
      </c>
      <c r="H12" s="1" t="str">
        <f t="shared" si="2"/>
        <v>Blouses &amp; Shirts &gt; Shirts, Blouses &amp; Shirts</v>
      </c>
      <c r="I12" s="1" t="str">
        <f t="shared" si="3"/>
        <v>https://host.zackha.com/images-nuxtcommerce/4471308-155-1.jpg, https://host.zackha.com/images-nuxtcommerce/4471308-155-2.jpg, https://host.zackha.com/images-nuxtcommerce/4471308-155-3.jpg, https://host.zackha.com/images-nuxtcommerce/4471308-155-4.jpg, https://host.zackha.com/images-nuxtcommerce/4471308-155-5.jpg, https://host.zackha.com/images-nuxtcommerce/4471308-155-6.jpg</v>
      </c>
      <c r="J12" s="1" t="str">
        <f>IF(ISBLANK(A12),"",VLOOKUP(A12,products!A:H,8,0))</f>
        <v>XS, S, M, L, XL</v>
      </c>
      <c r="K12" s="1">
        <f>IF(ISBLANK(A12),"",VLOOKUP(A12,products!A:I,9,0))</f>
        <v>25.9</v>
      </c>
      <c r="L12" s="1">
        <f>IF(ISBLANK(A12),"",VLOOKUP(A12,products!A:J,10,0))</f>
        <v>39.9</v>
      </c>
      <c r="M12" s="9">
        <v>791</v>
      </c>
      <c r="N12" s="10" t="s">
        <v>48</v>
      </c>
      <c r="O12" s="1" t="s">
        <v>124</v>
      </c>
      <c r="P12" s="6" t="s">
        <v>123</v>
      </c>
    </row>
    <row r="13" spans="1:17" x14ac:dyDescent="0.2">
      <c r="A13" s="4">
        <v>4471308</v>
      </c>
      <c r="B13" s="12">
        <v>620</v>
      </c>
      <c r="C13" s="1" t="str">
        <f>IF(ISBLANK(A13),"",VLOOKUP(A13,products!A:G,7,0))</f>
        <v>Shirt</v>
      </c>
      <c r="D13" s="1" t="str">
        <f t="shared" si="0"/>
        <v>Pink</v>
      </c>
      <c r="E13" s="1" t="str">
        <f t="shared" si="1"/>
        <v>4471308-620</v>
      </c>
      <c r="F13" s="1" t="str">
        <f>IF(ISBLANK(A13),"",CONCATENATE(VLOOKUP(A13,products!A:C,3,0)," ",LOWER(D13)))</f>
        <v>Rustic Oversized Shirt pink</v>
      </c>
      <c r="G13" s="1" t="str">
        <f>IF(ISBLANK(A13),"",CONCATENATE("&lt;ul&gt;&lt;li&gt;Model size:  ",VLOOKUP(A13,products!A:E,5,0),"&lt;/li&gt;&lt;li&gt;Model height:  ",VLOOKUP(A13,products!A:F,6,0)," cm&lt;/li&gt;&lt;li&gt;Colour:  ",D13,"&lt;/li&gt;&lt;li&gt;",VLOOKUP(A13,products!A:D,4,0),"&lt;/li&gt;&lt;/ul&gt;"))</f>
        <v>&lt;ul&gt;&lt;li&gt;Model size:  S&lt;/li&gt;&lt;li&gt;Model height:  178 cm&lt;/li&gt;&lt;li&gt;Colour:  Pink&lt;/li&gt;&lt;li&gt;Rustic oversize shirt with a Kent collar, long sleeves, a pocket and button fastening.&lt;/li&gt;&lt;/ul&gt;</v>
      </c>
      <c r="H13" s="1" t="str">
        <f t="shared" si="2"/>
        <v>Blouses &amp; Shirts &gt; Shirts, Blouses &amp; Shirts</v>
      </c>
      <c r="I13" s="1" t="str">
        <f t="shared" si="3"/>
        <v>https://host.zackha.com/images-nuxtcommerce/4471308-620-1.jpg, https://host.zackha.com/images-nuxtcommerce/4471308-620-2.jpg, https://host.zackha.com/images-nuxtcommerce/4471308-620-3.jpg, https://host.zackha.com/images-nuxtcommerce/4471308-620-4.jpg, https://host.zackha.com/images-nuxtcommerce/4471308-620-5.jpg, https://host.zackha.com/images-nuxtcommerce/4471308-620-6.jpg</v>
      </c>
      <c r="J13" s="1" t="str">
        <f>IF(ISBLANK(A13),"",VLOOKUP(A13,products!A:H,8,0))</f>
        <v>XS, S, M, L, XL</v>
      </c>
      <c r="K13" s="1">
        <f>IF(ISBLANK(A13),"",VLOOKUP(A13,products!A:I,9,0))</f>
        <v>25.9</v>
      </c>
      <c r="L13" s="1">
        <f>IF(ISBLANK(A13),"",VLOOKUP(A13,products!A:J,10,0))</f>
        <v>39.9</v>
      </c>
      <c r="M13" s="9">
        <v>712</v>
      </c>
      <c r="N13" s="10" t="s">
        <v>49</v>
      </c>
      <c r="O13" s="1" t="s">
        <v>130</v>
      </c>
      <c r="P13" s="6" t="s">
        <v>131</v>
      </c>
    </row>
    <row r="14" spans="1:17" x14ac:dyDescent="0.2">
      <c r="A14" s="4">
        <v>4471308</v>
      </c>
      <c r="B14" s="12">
        <v>600</v>
      </c>
      <c r="C14" s="1" t="str">
        <f>IF(ISBLANK(A14),"",VLOOKUP(A14,products!A:G,7,0))</f>
        <v>Shirt</v>
      </c>
      <c r="D14" s="1" t="str">
        <f t="shared" si="0"/>
        <v>Red</v>
      </c>
      <c r="E14" s="1" t="str">
        <f t="shared" si="1"/>
        <v>4471308-600</v>
      </c>
      <c r="F14" s="1" t="str">
        <f>IF(ISBLANK(A14),"",CONCATENATE(VLOOKUP(A14,products!A:C,3,0)," ",LOWER(D14)))</f>
        <v>Rustic Oversized Shirt red</v>
      </c>
      <c r="G14" s="1" t="str">
        <f>IF(ISBLANK(A14),"",CONCATENATE("&lt;ul&gt;&lt;li&gt;Model size:  ",VLOOKUP(A14,products!A:E,5,0),"&lt;/li&gt;&lt;li&gt;Model height:  ",VLOOKUP(A14,products!A:F,6,0)," cm&lt;/li&gt;&lt;li&gt;Colour:  ",D14,"&lt;/li&gt;&lt;li&gt;",VLOOKUP(A14,products!A:D,4,0),"&lt;/li&gt;&lt;/ul&gt;"))</f>
        <v>&lt;ul&gt;&lt;li&gt;Model size:  S&lt;/li&gt;&lt;li&gt;Model height:  178 cm&lt;/li&gt;&lt;li&gt;Colour:  Red&lt;/li&gt;&lt;li&gt;Rustic oversize shirt with a Kent collar, long sleeves, a pocket and button fastening.&lt;/li&gt;&lt;/ul&gt;</v>
      </c>
      <c r="H14" s="1" t="str">
        <f t="shared" si="2"/>
        <v>Blouses &amp; Shirts &gt; Shirts, Blouses &amp; Shirts</v>
      </c>
      <c r="I14" s="1" t="str">
        <f t="shared" si="3"/>
        <v>https://host.zackha.com/images-nuxtcommerce/4471308-600-1.jpg, https://host.zackha.com/images-nuxtcommerce/4471308-600-2.jpg, https://host.zackha.com/images-nuxtcommerce/4471308-600-3.jpg, https://host.zackha.com/images-nuxtcommerce/4471308-600-4.jpg, https://host.zackha.com/images-nuxtcommerce/4471308-600-5.jpg, https://host.zackha.com/images-nuxtcommerce/4471308-600-6.jpg</v>
      </c>
      <c r="J14" s="1" t="str">
        <f>IF(ISBLANK(A14),"",VLOOKUP(A14,products!A:H,8,0))</f>
        <v>XS, S, M, L, XL</v>
      </c>
      <c r="K14" s="1">
        <f>IF(ISBLANK(A14),"",VLOOKUP(A14,products!A:I,9,0))</f>
        <v>25.9</v>
      </c>
      <c r="L14" s="1">
        <f>IF(ISBLANK(A14),"",VLOOKUP(A14,products!A:J,10,0))</f>
        <v>39.9</v>
      </c>
      <c r="M14" s="9">
        <v>783</v>
      </c>
      <c r="N14" s="10" t="s">
        <v>50</v>
      </c>
      <c r="O14" s="4" t="s">
        <v>134</v>
      </c>
      <c r="P14" s="10" t="s">
        <v>135</v>
      </c>
    </row>
    <row r="15" spans="1:17" x14ac:dyDescent="0.2">
      <c r="A15" s="4">
        <v>4471308</v>
      </c>
      <c r="B15" s="12">
        <v>700</v>
      </c>
      <c r="C15" s="1" t="str">
        <f>IF(ISBLANK(A15),"",VLOOKUP(A15,products!A:G,7,0))</f>
        <v>Shirt</v>
      </c>
      <c r="D15" s="1" t="str">
        <f t="shared" si="0"/>
        <v>Brown</v>
      </c>
      <c r="E15" s="1" t="str">
        <f t="shared" si="1"/>
        <v>4471308-700</v>
      </c>
      <c r="F15" s="1" t="str">
        <f>IF(ISBLANK(A15),"",CONCATENATE(VLOOKUP(A15,products!A:C,3,0)," ",LOWER(D15)))</f>
        <v>Rustic Oversized Shirt brown</v>
      </c>
      <c r="G15" s="1" t="str">
        <f>IF(ISBLANK(A15),"",CONCATENATE("&lt;ul&gt;&lt;li&gt;Model size:  ",VLOOKUP(A15,products!A:E,5,0),"&lt;/li&gt;&lt;li&gt;Model height:  ",VLOOKUP(A15,products!A:F,6,0)," cm&lt;/li&gt;&lt;li&gt;Colour:  ",D15,"&lt;/li&gt;&lt;li&gt;",VLOOKUP(A15,products!A:D,4,0),"&lt;/li&gt;&lt;/ul&gt;"))</f>
        <v>&lt;ul&gt;&lt;li&gt;Model size:  S&lt;/li&gt;&lt;li&gt;Model height:  178 cm&lt;/li&gt;&lt;li&gt;Colour:  Brown&lt;/li&gt;&lt;li&gt;Rustic oversize shirt with a Kent collar, long sleeves, a pocket and button fastening.&lt;/li&gt;&lt;/ul&gt;</v>
      </c>
      <c r="H15" s="1" t="str">
        <f t="shared" si="2"/>
        <v>Blouses &amp; Shirts &gt; Shirts, Blouses &amp; Shirts</v>
      </c>
      <c r="I15" s="1" t="str">
        <f t="shared" si="3"/>
        <v>https://host.zackha.com/images-nuxtcommerce/4471308-700-1.jpg, https://host.zackha.com/images-nuxtcommerce/4471308-700-2.jpg, https://host.zackha.com/images-nuxtcommerce/4471308-700-3.jpg, https://host.zackha.com/images-nuxtcommerce/4471308-700-4.jpg, https://host.zackha.com/images-nuxtcommerce/4471308-700-5.jpg, https://host.zackha.com/images-nuxtcommerce/4471308-700-6.jpg</v>
      </c>
      <c r="J15" s="1" t="str">
        <f>IF(ISBLANK(A15),"",VLOOKUP(A15,products!A:H,8,0))</f>
        <v>XS, S, M, L, XL</v>
      </c>
      <c r="K15" s="1">
        <f>IF(ISBLANK(A15),"",VLOOKUP(A15,products!A:I,9,0))</f>
        <v>25.9</v>
      </c>
      <c r="L15" s="1">
        <f>IF(ISBLANK(A15),"",VLOOKUP(A15,products!A:J,10,0))</f>
        <v>39.9</v>
      </c>
      <c r="M15" s="9">
        <v>427</v>
      </c>
      <c r="N15" s="10" t="s">
        <v>51</v>
      </c>
      <c r="O15" t="s">
        <v>141</v>
      </c>
      <c r="P15" s="6" t="s">
        <v>142</v>
      </c>
    </row>
    <row r="16" spans="1:17" x14ac:dyDescent="0.2">
      <c r="A16" s="4">
        <v>7234380</v>
      </c>
      <c r="B16" s="12">
        <v>671</v>
      </c>
      <c r="C16" s="1" t="str">
        <f>IF(ISBLANK(A16),"",VLOOKUP(A16,products!A:G,7,0))</f>
        <v>Top</v>
      </c>
      <c r="D16" s="1" t="str">
        <f t="shared" si="0"/>
        <v>Raspberry</v>
      </c>
      <c r="E16" s="1" t="str">
        <f t="shared" si="1"/>
        <v>7234380-671</v>
      </c>
      <c r="F16" s="1" t="str">
        <f>IF(ISBLANK(A16),"",CONCATENATE(VLOOKUP(A16,products!A:C,3,0)," ",LOWER(D16)))</f>
        <v>Gathered lace camisole top raspberry</v>
      </c>
      <c r="G16" s="1" t="str">
        <f>IF(ISBLANK(A16),"",CONCATENATE("&lt;ul&gt;&lt;li&gt;Model size:  ",VLOOKUP(A16,products!A:E,5,0),"&lt;/li&gt;&lt;li&gt;Model height:  ",VLOOKUP(A16,products!A:F,6,0)," cm&lt;/li&gt;&lt;li&gt;Colour:  ",D16,"&lt;/li&gt;&lt;li&gt;",VLOOKUP(A16,products!A:D,4,0),"&lt;/li&gt;&lt;/ul&gt;"))</f>
        <v>&lt;ul&gt;&lt;li&gt;Model size:  S&lt;/li&gt;&lt;li&gt;Model height:  173 cm&lt;/li&gt;&lt;li&gt;Colour:  Raspberry&lt;/li&gt;&lt;li&gt;Lace top with gathered detail on the chest and thin straps. Made of stretch fabric.&lt;/li&gt;&lt;/ul&gt;</v>
      </c>
      <c r="H16" s="1" t="str">
        <f t="shared" si="2"/>
        <v>Tops &gt; Top, Tops</v>
      </c>
      <c r="I16" s="1" t="str">
        <f t="shared" si="3"/>
        <v>https://host.zackha.com/images-nuxtcommerce/7234380-671-1.jpg, https://host.zackha.com/images-nuxtcommerce/7234380-671-2.jpg, https://host.zackha.com/images-nuxtcommerce/7234380-671-3.jpg, https://host.zackha.com/images-nuxtcommerce/7234380-671-4.jpg, https://host.zackha.com/images-nuxtcommerce/7234380-671-5.jpg, https://host.zackha.com/images-nuxtcommerce/7234380-671-6.jpg</v>
      </c>
      <c r="J16" s="1" t="str">
        <f>IF(ISBLANK(A16),"",VLOOKUP(A16,products!A:H,8,0))</f>
        <v>XS, S, M, L, XL</v>
      </c>
      <c r="K16" s="1">
        <f>IF(ISBLANK(A16),"",VLOOKUP(A16,products!A:I,9,0))</f>
        <v>27.9</v>
      </c>
      <c r="L16" s="1">
        <f>IF(ISBLANK(A16),"",VLOOKUP(A16,products!A:J,10,0))</f>
        <v>35.9</v>
      </c>
      <c r="M16" s="9">
        <v>802</v>
      </c>
      <c r="N16" s="10" t="s">
        <v>52</v>
      </c>
      <c r="O16" s="1"/>
      <c r="P16" s="10"/>
    </row>
    <row r="17" spans="1:16" x14ac:dyDescent="0.2">
      <c r="A17" s="4">
        <v>7244362</v>
      </c>
      <c r="B17" s="12">
        <v>428</v>
      </c>
      <c r="C17" s="1" t="str">
        <f>IF(ISBLANK(A17),"",VLOOKUP(A17,products!A:G,7,0))</f>
        <v>T-Shirt</v>
      </c>
      <c r="D17" s="1" t="str">
        <f t="shared" si="0"/>
        <v>Faded Blue</v>
      </c>
      <c r="E17" s="1" t="str">
        <f t="shared" si="1"/>
        <v>7244362-428</v>
      </c>
      <c r="F17" s="1" t="str">
        <f>IF(ISBLANK(A17),"",CONCATENATE(VLOOKUP(A17,products!A:C,3,0)," ",LOWER(D17)))</f>
        <v>T-shirt with cowboy and heart graphic faded blue</v>
      </c>
      <c r="G17" s="1" t="str">
        <f>IF(ISBLANK(A17),"",CONCATENATE("&lt;ul&gt;&lt;li&gt;Model size:  ",VLOOKUP(A17,products!A:E,5,0),"&lt;/li&gt;&lt;li&gt;Model height:  ",VLOOKUP(A17,products!A:F,6,0)," cm&lt;/li&gt;&lt;li&gt;Colour:  ",D17,"&lt;/li&gt;&lt;li&gt;",VLOOKUP(A17,products!A:D,4,0),"&lt;/li&gt;&lt;/ul&gt;"))</f>
        <v>&lt;ul&gt;&lt;li&gt;Model size:  S&lt;/li&gt;&lt;li&gt;Model height:  175 cm&lt;/li&gt;&lt;li&gt;Colour:  Faded Blue&lt;/li&gt;&lt;li&gt;T-shirt with My Ranch USA Rodeo graphic, a round collar and short sleeves.&lt;/li&gt;&lt;/ul&gt;</v>
      </c>
      <c r="H17" s="1" t="str">
        <f t="shared" si="2"/>
        <v>T-shirts &gt; T-shirt, T-shirts</v>
      </c>
      <c r="I17" s="1" t="str">
        <f t="shared" si="3"/>
        <v>https://host.zackha.com/images-nuxtcommerce/7244362-428-1.jpg, https://host.zackha.com/images-nuxtcommerce/7244362-428-2.jpg, https://host.zackha.com/images-nuxtcommerce/7244362-428-3.jpg, https://host.zackha.com/images-nuxtcommerce/7244362-428-4.jpg, https://host.zackha.com/images-nuxtcommerce/7244362-428-5.jpg, https://host.zackha.com/images-nuxtcommerce/7244362-428-6.jpg</v>
      </c>
      <c r="J17" s="1" t="str">
        <f>IF(ISBLANK(A17),"",VLOOKUP(A17,products!A:H,8,0))</f>
        <v>XS, S, M, L, XL</v>
      </c>
      <c r="K17" s="1">
        <f>IF(ISBLANK(A17),"",VLOOKUP(A17,products!A:I,9,0))</f>
        <v>35.9</v>
      </c>
      <c r="L17" s="1">
        <f>IF(ISBLANK(A17),"",VLOOKUP(A17,products!A:J,10,0))</f>
        <v>47.9</v>
      </c>
      <c r="M17" s="9">
        <v>250</v>
      </c>
      <c r="N17" s="10" t="s">
        <v>53</v>
      </c>
      <c r="O17" s="1"/>
      <c r="P17" s="10"/>
    </row>
    <row r="18" spans="1:16" x14ac:dyDescent="0.2">
      <c r="A18" s="4">
        <v>7244374</v>
      </c>
      <c r="B18" s="12">
        <v>120</v>
      </c>
      <c r="C18" s="1" t="str">
        <f>IF(ISBLANK(A18),"",VLOOKUP(A18,products!A:G,7,0))</f>
        <v>Top</v>
      </c>
      <c r="D18" s="1" t="str">
        <f t="shared" si="0"/>
        <v>Print</v>
      </c>
      <c r="E18" s="1" t="str">
        <f t="shared" si="1"/>
        <v>7244374-120</v>
      </c>
      <c r="F18" s="1" t="str">
        <f>IF(ISBLANK(A18),"",CONCATENATE(VLOOKUP(A18,products!A:C,3,0)," ",LOWER(D18)))</f>
        <v>Printed tulle halter top print</v>
      </c>
      <c r="G18" s="1" t="str">
        <f>IF(ISBLANK(A18),"",CONCATENATE("&lt;ul&gt;&lt;li&gt;Model size:  ",VLOOKUP(A18,products!A:E,5,0),"&lt;/li&gt;&lt;li&gt;Model height:  ",VLOOKUP(A18,products!A:F,6,0)," cm&lt;/li&gt;&lt;li&gt;Colour:  ",D18,"&lt;/li&gt;&lt;li&gt;",VLOOKUP(A18,products!A:D,4,0),"&lt;/li&gt;&lt;/ul&gt;"))</f>
        <v>&lt;ul&gt;&lt;li&gt;Model size:  S&lt;/li&gt;&lt;li&gt;Model height:  174 cm&lt;/li&gt;&lt;li&gt;Colour:  Print&lt;/li&gt;&lt;li&gt;Top with a halter neckline, a tie-dye print and gathered detail on the sides. Made of stretch fabric.&lt;/li&gt;&lt;/ul&gt;</v>
      </c>
      <c r="H18" s="1" t="str">
        <f t="shared" si="2"/>
        <v>Tops &gt; Top, Tops</v>
      </c>
      <c r="I18" s="1" t="str">
        <f t="shared" si="3"/>
        <v>https://host.zackha.com/images-nuxtcommerce/7244374-120-1.jpg, https://host.zackha.com/images-nuxtcommerce/7244374-120-2.jpg, https://host.zackha.com/images-nuxtcommerce/7244374-120-3.jpg, https://host.zackha.com/images-nuxtcommerce/7244374-120-4.jpg, https://host.zackha.com/images-nuxtcommerce/7244374-120-5.jpg, https://host.zackha.com/images-nuxtcommerce/7244374-120-6.jpg</v>
      </c>
      <c r="J18" s="1" t="str">
        <f>IF(ISBLANK(A18),"",VLOOKUP(A18,products!A:H,8,0))</f>
        <v>XS, S, M, L, XL</v>
      </c>
      <c r="K18" s="1">
        <f>IF(ISBLANK(A18),"",VLOOKUP(A18,products!A:I,9,0))</f>
        <v>29.9</v>
      </c>
      <c r="L18" s="1">
        <f>IF(ISBLANK(A18),"",VLOOKUP(A18,products!A:J,10,0))</f>
        <v>39.9</v>
      </c>
      <c r="M18" s="9">
        <v>505</v>
      </c>
      <c r="N18" s="10" t="s">
        <v>54</v>
      </c>
      <c r="O18" s="1"/>
      <c r="P18" s="10"/>
    </row>
    <row r="19" spans="1:16" x14ac:dyDescent="0.2">
      <c r="A19" s="4">
        <v>7244374</v>
      </c>
      <c r="B19" s="12">
        <v>115</v>
      </c>
      <c r="C19" s="1" t="str">
        <f>IF(ISBLANK(A19),"",VLOOKUP(A19,products!A:G,7,0))</f>
        <v>Top</v>
      </c>
      <c r="D19" s="1" t="str">
        <f t="shared" si="0"/>
        <v>Zebra</v>
      </c>
      <c r="E19" s="1" t="str">
        <f t="shared" si="1"/>
        <v>7244374-115</v>
      </c>
      <c r="F19" s="1" t="str">
        <f>IF(ISBLANK(A19),"",CONCATENATE(VLOOKUP(A19,products!A:C,3,0)," ",LOWER(D19)))</f>
        <v>Printed tulle halter top zebra</v>
      </c>
      <c r="G19" s="1" t="str">
        <f>IF(ISBLANK(A19),"",CONCATENATE("&lt;ul&gt;&lt;li&gt;Model size:  ",VLOOKUP(A19,products!A:E,5,0),"&lt;/li&gt;&lt;li&gt;Model height:  ",VLOOKUP(A19,products!A:F,6,0)," cm&lt;/li&gt;&lt;li&gt;Colour:  ",D19,"&lt;/li&gt;&lt;li&gt;",VLOOKUP(A19,products!A:D,4,0),"&lt;/li&gt;&lt;/ul&gt;"))</f>
        <v>&lt;ul&gt;&lt;li&gt;Model size:  S&lt;/li&gt;&lt;li&gt;Model height:  174 cm&lt;/li&gt;&lt;li&gt;Colour:  Zebra&lt;/li&gt;&lt;li&gt;Top with a halter neckline, a tie-dye print and gathered detail on the sides. Made of stretch fabric.&lt;/li&gt;&lt;/ul&gt;</v>
      </c>
      <c r="H19" s="1" t="str">
        <f t="shared" si="2"/>
        <v>Tops &gt; Top, Tops</v>
      </c>
      <c r="I19" s="1" t="str">
        <f t="shared" si="3"/>
        <v>https://host.zackha.com/images-nuxtcommerce/7244374-115-1.jpg, https://host.zackha.com/images-nuxtcommerce/7244374-115-2.jpg, https://host.zackha.com/images-nuxtcommerce/7244374-115-3.jpg, https://host.zackha.com/images-nuxtcommerce/7244374-115-4.jpg, https://host.zackha.com/images-nuxtcommerce/7244374-115-5.jpg, https://host.zackha.com/images-nuxtcommerce/7244374-115-6.jpg</v>
      </c>
      <c r="J19" s="1" t="str">
        <f>IF(ISBLANK(A19),"",VLOOKUP(A19,products!A:H,8,0))</f>
        <v>XS, S, M, L, XL</v>
      </c>
      <c r="K19" s="1">
        <f>IF(ISBLANK(A19),"",VLOOKUP(A19,products!A:I,9,0))</f>
        <v>29.9</v>
      </c>
      <c r="L19" s="1">
        <f>IF(ISBLANK(A19),"",VLOOKUP(A19,products!A:J,10,0))</f>
        <v>39.9</v>
      </c>
      <c r="M19" s="9">
        <v>704</v>
      </c>
      <c r="N19" s="10" t="s">
        <v>55</v>
      </c>
      <c r="O19" s="1"/>
      <c r="P19" s="10"/>
    </row>
    <row r="20" spans="1:16" x14ac:dyDescent="0.2">
      <c r="A20" s="4">
        <v>7244383</v>
      </c>
      <c r="B20" s="12">
        <v>406</v>
      </c>
      <c r="C20" s="1" t="str">
        <f>IF(ISBLANK(A20),"",VLOOKUP(A20,products!A:G,7,0))</f>
        <v>T-Shirt</v>
      </c>
      <c r="D20" s="1" t="str">
        <f t="shared" si="0"/>
        <v>Pale Blue</v>
      </c>
      <c r="E20" s="1" t="str">
        <f t="shared" si="1"/>
        <v>7244383-406</v>
      </c>
      <c r="F20" s="1" t="str">
        <f>IF(ISBLANK(A20),"",CONCATENATE(VLOOKUP(A20,products!A:C,3,0)," ",LOWER(D20)))</f>
        <v>Striped short sleeve T-shirt pale blue</v>
      </c>
      <c r="G20" s="1" t="str">
        <f>IF(ISBLANK(A20),"",CONCATENATE("&lt;ul&gt;&lt;li&gt;Model size:  ",VLOOKUP(A20,products!A:E,5,0),"&lt;/li&gt;&lt;li&gt;Model height:  ",VLOOKUP(A20,products!A:F,6,0)," cm&lt;/li&gt;&lt;li&gt;Colour:  ",D20,"&lt;/li&gt;&lt;li&gt;",VLOOKUP(A20,products!A:D,4,0),"&lt;/li&gt;&lt;/ul&gt;"))</f>
        <v>&lt;ul&gt;&lt;li&gt;Model size:  S&lt;/li&gt;&lt;li&gt;Model height:  175 cm&lt;/li&gt;&lt;li&gt;Colour:  Pale Blue&lt;/li&gt;&lt;li&gt;Striped T-shirt with short sleeves and a round collar. Available in assorted colors and made of cotton.&lt;/li&gt;&lt;/ul&gt;</v>
      </c>
      <c r="H20" s="1" t="str">
        <f t="shared" si="2"/>
        <v>T-shirts &gt; T-shirt, T-shirts</v>
      </c>
      <c r="I20" s="1" t="str">
        <f t="shared" si="3"/>
        <v>https://host.zackha.com/images-nuxtcommerce/7244383-406-1.jpg, https://host.zackha.com/images-nuxtcommerce/7244383-406-2.jpg, https://host.zackha.com/images-nuxtcommerce/7244383-406-3.jpg, https://host.zackha.com/images-nuxtcommerce/7244383-406-4.jpg, https://host.zackha.com/images-nuxtcommerce/7244383-406-5.jpg, https://host.zackha.com/images-nuxtcommerce/7244383-406-6.jpg</v>
      </c>
      <c r="J20" s="1" t="str">
        <f>IF(ISBLANK(A20),"",VLOOKUP(A20,products!A:H,8,0))</f>
        <v>XS, S, M, L, XL</v>
      </c>
      <c r="K20" s="1">
        <f>IF(ISBLANK(A20),"",VLOOKUP(A20,products!A:I,9,0))</f>
        <v>17.899999999999999</v>
      </c>
      <c r="L20" s="1">
        <f>IF(ISBLANK(A20),"",VLOOKUP(A20,products!A:J,10,0))</f>
        <v>45.9</v>
      </c>
      <c r="M20" s="9">
        <v>400</v>
      </c>
      <c r="N20" s="10" t="s">
        <v>56</v>
      </c>
      <c r="O20" s="1"/>
      <c r="P20" s="10"/>
    </row>
    <row r="21" spans="1:16" x14ac:dyDescent="0.2">
      <c r="A21" s="4">
        <v>7244383</v>
      </c>
      <c r="B21" s="12">
        <v>700</v>
      </c>
      <c r="C21" s="1" t="str">
        <f>IF(ISBLANK(A21),"",VLOOKUP(A21,products!A:G,7,0))</f>
        <v>T-Shirt</v>
      </c>
      <c r="D21" s="1" t="str">
        <f t="shared" si="0"/>
        <v>Brown</v>
      </c>
      <c r="E21" s="1" t="str">
        <f t="shared" si="1"/>
        <v>7244383-700</v>
      </c>
      <c r="F21" s="1" t="str">
        <f>IF(ISBLANK(A21),"",CONCATENATE(VLOOKUP(A21,products!A:C,3,0)," ",LOWER(D21)))</f>
        <v>Striped short sleeve T-shirt brown</v>
      </c>
      <c r="G21" s="1" t="str">
        <f>IF(ISBLANK(A21),"",CONCATENATE("&lt;ul&gt;&lt;li&gt;Model size:  ",VLOOKUP(A21,products!A:E,5,0),"&lt;/li&gt;&lt;li&gt;Model height:  ",VLOOKUP(A21,products!A:F,6,0)," cm&lt;/li&gt;&lt;li&gt;Colour:  ",D21,"&lt;/li&gt;&lt;li&gt;",VLOOKUP(A21,products!A:D,4,0),"&lt;/li&gt;&lt;/ul&gt;"))</f>
        <v>&lt;ul&gt;&lt;li&gt;Model size:  S&lt;/li&gt;&lt;li&gt;Model height:  175 cm&lt;/li&gt;&lt;li&gt;Colour:  Brown&lt;/li&gt;&lt;li&gt;Striped T-shirt with short sleeves and a round collar. Available in assorted colors and made of cotton.&lt;/li&gt;&lt;/ul&gt;</v>
      </c>
      <c r="H21" s="1" t="str">
        <f t="shared" si="2"/>
        <v>T-shirts &gt; T-shirt, T-shirts</v>
      </c>
      <c r="I21" s="1" t="str">
        <f t="shared" si="3"/>
        <v>https://host.zackha.com/images-nuxtcommerce/7244383-700-1.jpg, https://host.zackha.com/images-nuxtcommerce/7244383-700-2.jpg, https://host.zackha.com/images-nuxtcommerce/7244383-700-3.jpg, https://host.zackha.com/images-nuxtcommerce/7244383-700-4.jpg, https://host.zackha.com/images-nuxtcommerce/7244383-700-5.jpg, https://host.zackha.com/images-nuxtcommerce/7244383-700-6.jpg</v>
      </c>
      <c r="J21" s="1" t="str">
        <f>IF(ISBLANK(A21),"",VLOOKUP(A21,products!A:H,8,0))</f>
        <v>XS, S, M, L, XL</v>
      </c>
      <c r="K21" s="1">
        <f>IF(ISBLANK(A21),"",VLOOKUP(A21,products!A:I,9,0))</f>
        <v>17.899999999999999</v>
      </c>
      <c r="L21" s="1">
        <f>IF(ISBLANK(A21),"",VLOOKUP(A21,products!A:J,10,0))</f>
        <v>45.9</v>
      </c>
      <c r="M21" s="9">
        <v>700</v>
      </c>
      <c r="N21" s="10" t="s">
        <v>57</v>
      </c>
      <c r="O21" s="1"/>
      <c r="P21" s="10"/>
    </row>
    <row r="22" spans="1:16" x14ac:dyDescent="0.2">
      <c r="A22" s="4">
        <v>7390375</v>
      </c>
      <c r="B22" s="12">
        <v>400</v>
      </c>
      <c r="C22" s="1" t="str">
        <f>IF(ISBLANK(A22),"",VLOOKUP(A22,products!A:G,7,0))</f>
        <v>Dress</v>
      </c>
      <c r="D22" s="1" t="str">
        <f t="shared" si="0"/>
        <v>Blue</v>
      </c>
      <c r="E22" s="1" t="str">
        <f t="shared" si="1"/>
        <v>7390375-400</v>
      </c>
      <c r="F22" s="1" t="str">
        <f>IF(ISBLANK(A22),"",CONCATENATE(VLOOKUP(A22,products!A:C,3,0)," ",LOWER(D22)))</f>
        <v>Strappy crepe midi dress blue</v>
      </c>
      <c r="G22" s="1" t="str">
        <f>IF(ISBLANK(A22),"",CONCATENATE("&lt;ul&gt;&lt;li&gt;Model size:  ",VLOOKUP(A22,products!A:E,5,0),"&lt;/li&gt;&lt;li&gt;Model height:  ",VLOOKUP(A22,products!A:F,6,0)," cm&lt;/li&gt;&lt;li&gt;Colour:  ",D22,"&lt;/li&gt;&lt;li&gt;",VLOOKUP(A22,products!A:D,4,0),"&lt;/li&gt;&lt;/ul&gt;"))</f>
        <v>&lt;ul&gt;&lt;li&gt;Model size:  S&lt;/li&gt;&lt;li&gt;Model height:  174 cm&lt;/li&gt;&lt;li&gt;Colour:  Blue&lt;/li&gt;&lt;li&gt;Fitted rustic crepe midi dress with straps.&lt;/li&gt;&lt;/ul&gt;</v>
      </c>
      <c r="H22" s="1" t="str">
        <f t="shared" si="2"/>
        <v>Dresses &gt; Dress, Dresses</v>
      </c>
      <c r="I22" s="1" t="str">
        <f t="shared" si="3"/>
        <v>https://host.zackha.com/images-nuxtcommerce/7390375-400-1.jpg, https://host.zackha.com/images-nuxtcommerce/7390375-400-2.jpg, https://host.zackha.com/images-nuxtcommerce/7390375-400-3.jpg, https://host.zackha.com/images-nuxtcommerce/7390375-400-4.jpg, https://host.zackha.com/images-nuxtcommerce/7390375-400-5.jpg, https://host.zackha.com/images-nuxtcommerce/7390375-400-6.jpg</v>
      </c>
      <c r="J22" s="1" t="str">
        <f>IF(ISBLANK(A22),"",VLOOKUP(A22,products!A:H,8,0))</f>
        <v>XS, S, M, L, XL</v>
      </c>
      <c r="K22" s="1">
        <f>IF(ISBLANK(A22),"",VLOOKUP(A22,products!A:I,9,0))</f>
        <v>39.9</v>
      </c>
      <c r="L22" s="1">
        <f>IF(ISBLANK(A22),"",VLOOKUP(A22,products!A:J,10,0))</f>
        <v>53.9</v>
      </c>
      <c r="M22" s="9">
        <v>500</v>
      </c>
      <c r="N22" s="10" t="s">
        <v>58</v>
      </c>
      <c r="O22" s="1"/>
      <c r="P22" s="10"/>
    </row>
    <row r="23" spans="1:16" x14ac:dyDescent="0.2">
      <c r="A23" s="4">
        <v>7390375</v>
      </c>
      <c r="B23" s="12">
        <v>736</v>
      </c>
      <c r="C23" s="1" t="str">
        <f>IF(ISBLANK(A23),"",VLOOKUP(A23,products!A:G,7,0))</f>
        <v>Dress</v>
      </c>
      <c r="D23" s="1" t="str">
        <f t="shared" si="0"/>
        <v>Pale Mink</v>
      </c>
      <c r="E23" s="1" t="str">
        <f t="shared" si="1"/>
        <v>7390375-736</v>
      </c>
      <c r="F23" s="1" t="str">
        <f>IF(ISBLANK(A23),"",CONCATENATE(VLOOKUP(A23,products!A:C,3,0)," ",LOWER(D23)))</f>
        <v>Strappy crepe midi dress pale mink</v>
      </c>
      <c r="G23" s="1" t="str">
        <f>IF(ISBLANK(A23),"",CONCATENATE("&lt;ul&gt;&lt;li&gt;Model size:  ",VLOOKUP(A23,products!A:E,5,0),"&lt;/li&gt;&lt;li&gt;Model height:  ",VLOOKUP(A23,products!A:F,6,0)," cm&lt;/li&gt;&lt;li&gt;Colour:  ",D23,"&lt;/li&gt;&lt;li&gt;",VLOOKUP(A23,products!A:D,4,0),"&lt;/li&gt;&lt;/ul&gt;"))</f>
        <v>&lt;ul&gt;&lt;li&gt;Model size:  S&lt;/li&gt;&lt;li&gt;Model height:  174 cm&lt;/li&gt;&lt;li&gt;Colour:  Pale Mink&lt;/li&gt;&lt;li&gt;Fitted rustic crepe midi dress with straps.&lt;/li&gt;&lt;/ul&gt;</v>
      </c>
      <c r="H23" s="1" t="str">
        <f t="shared" si="2"/>
        <v>Dresses &gt; Dress, Dresses</v>
      </c>
      <c r="I23" s="1" t="str">
        <f t="shared" si="3"/>
        <v>https://host.zackha.com/images-nuxtcommerce/7390375-736-1.jpg, https://host.zackha.com/images-nuxtcommerce/7390375-736-2.jpg, https://host.zackha.com/images-nuxtcommerce/7390375-736-3.jpg, https://host.zackha.com/images-nuxtcommerce/7390375-736-4.jpg, https://host.zackha.com/images-nuxtcommerce/7390375-736-5.jpg, https://host.zackha.com/images-nuxtcommerce/7390375-736-6.jpg</v>
      </c>
      <c r="J23" s="1" t="str">
        <f>IF(ISBLANK(A23),"",VLOOKUP(A23,products!A:H,8,0))</f>
        <v>XS, S, M, L, XL</v>
      </c>
      <c r="K23" s="1">
        <f>IF(ISBLANK(A23),"",VLOOKUP(A23,products!A:I,9,0))</f>
        <v>39.9</v>
      </c>
      <c r="L23" s="1">
        <f>IF(ISBLANK(A23),"",VLOOKUP(A23,products!A:J,10,0))</f>
        <v>53.9</v>
      </c>
      <c r="M23" s="9">
        <v>711</v>
      </c>
      <c r="N23" s="10" t="s">
        <v>59</v>
      </c>
      <c r="O23" s="1"/>
      <c r="P23" s="10"/>
    </row>
    <row r="24" spans="1:16" x14ac:dyDescent="0.2">
      <c r="A24" s="4">
        <v>7390375</v>
      </c>
      <c r="B24" s="12">
        <v>518</v>
      </c>
      <c r="C24" s="1" t="str">
        <f>IF(ISBLANK(A24),"",VLOOKUP(A24,products!A:G,7,0))</f>
        <v>Dress</v>
      </c>
      <c r="D24" s="1" t="str">
        <f t="shared" si="0"/>
        <v>Bluish Green</v>
      </c>
      <c r="E24" s="1" t="str">
        <f t="shared" si="1"/>
        <v>7390375-518</v>
      </c>
      <c r="F24" s="1" t="str">
        <f>IF(ISBLANK(A24),"",CONCATENATE(VLOOKUP(A24,products!A:C,3,0)," ",LOWER(D24)))</f>
        <v>Strappy crepe midi dress bluish green</v>
      </c>
      <c r="G24" s="1" t="str">
        <f>IF(ISBLANK(A24),"",CONCATENATE("&lt;ul&gt;&lt;li&gt;Model size:  ",VLOOKUP(A24,products!A:E,5,0),"&lt;/li&gt;&lt;li&gt;Model height:  ",VLOOKUP(A24,products!A:F,6,0)," cm&lt;/li&gt;&lt;li&gt;Colour:  ",D24,"&lt;/li&gt;&lt;li&gt;",VLOOKUP(A24,products!A:D,4,0),"&lt;/li&gt;&lt;/ul&gt;"))</f>
        <v>&lt;ul&gt;&lt;li&gt;Model size:  S&lt;/li&gt;&lt;li&gt;Model height:  174 cm&lt;/li&gt;&lt;li&gt;Colour:  Bluish Green&lt;/li&gt;&lt;li&gt;Fitted rustic crepe midi dress with straps.&lt;/li&gt;&lt;/ul&gt;</v>
      </c>
      <c r="H24" s="1" t="str">
        <f t="shared" si="2"/>
        <v>Dresses &gt; Dress, Dresses</v>
      </c>
      <c r="I24" s="1" t="str">
        <f t="shared" si="3"/>
        <v>https://host.zackha.com/images-nuxtcommerce/7390375-518-1.jpg, https://host.zackha.com/images-nuxtcommerce/7390375-518-2.jpg, https://host.zackha.com/images-nuxtcommerce/7390375-518-3.jpg, https://host.zackha.com/images-nuxtcommerce/7390375-518-4.jpg, https://host.zackha.com/images-nuxtcommerce/7390375-518-5.jpg, https://host.zackha.com/images-nuxtcommerce/7390375-518-6.jpg</v>
      </c>
      <c r="J24" s="1" t="str">
        <f>IF(ISBLANK(A24),"",VLOOKUP(A24,products!A:H,8,0))</f>
        <v>XS, S, M, L, XL</v>
      </c>
      <c r="K24" s="1">
        <f>IF(ISBLANK(A24),"",VLOOKUP(A24,products!A:I,9,0))</f>
        <v>39.9</v>
      </c>
      <c r="L24" s="1">
        <f>IF(ISBLANK(A24),"",VLOOKUP(A24,products!A:J,10,0))</f>
        <v>53.9</v>
      </c>
      <c r="M24" s="9">
        <v>707</v>
      </c>
      <c r="N24" s="10" t="s">
        <v>60</v>
      </c>
      <c r="O24" s="1"/>
      <c r="P24" s="10"/>
    </row>
    <row r="25" spans="1:16" x14ac:dyDescent="0.2">
      <c r="A25" s="4">
        <v>7390394</v>
      </c>
      <c r="B25" s="12">
        <v>250</v>
      </c>
      <c r="C25" s="1" t="str">
        <f>IF(ISBLANK(A25),"",VLOOKUP(A25,products!A:G,7,0))</f>
        <v>Dress</v>
      </c>
      <c r="D25" s="1" t="str">
        <f t="shared" si="0"/>
        <v>White</v>
      </c>
      <c r="E25" s="1" t="str">
        <f t="shared" si="1"/>
        <v>7390394-250</v>
      </c>
      <c r="F25" s="1" t="str">
        <f>IF(ISBLANK(A25),"",CONCATENATE(VLOOKUP(A25,products!A:C,3,0)," ",LOWER(D25)))</f>
        <v>Short floral lace dress white</v>
      </c>
      <c r="G25" s="1" t="str">
        <f>IF(ISBLANK(A25),"",CONCATENATE("&lt;ul&gt;&lt;li&gt;Model size:  ",VLOOKUP(A25,products!A:E,5,0),"&lt;/li&gt;&lt;li&gt;Model height:  ",VLOOKUP(A25,products!A:F,6,0)," cm&lt;/li&gt;&lt;li&gt;Colour:  ",D25,"&lt;/li&gt;&lt;li&gt;",VLOOKUP(A25,products!A:D,4,0),"&lt;/li&gt;&lt;/ul&gt;"))</f>
        <v>&lt;ul&gt;&lt;li&gt;Model size:  S&lt;/li&gt;&lt;li&gt;Model height:  173 cm&lt;/li&gt;&lt;li&gt;Colour:  White&lt;/li&gt;&lt;li&gt;Short sleeveless floral dress in lace fabric with lace trim detail.&lt;/li&gt;&lt;/ul&gt;</v>
      </c>
      <c r="H25" s="1" t="str">
        <f t="shared" si="2"/>
        <v>Dresses &gt; Dress, Dresses</v>
      </c>
      <c r="I25" s="1" t="str">
        <f t="shared" si="3"/>
        <v>https://host.zackha.com/images-nuxtcommerce/7390394-250-1.jpg, https://host.zackha.com/images-nuxtcommerce/7390394-250-2.jpg, https://host.zackha.com/images-nuxtcommerce/7390394-250-3.jpg, https://host.zackha.com/images-nuxtcommerce/7390394-250-4.jpg, https://host.zackha.com/images-nuxtcommerce/7390394-250-5.jpg, https://host.zackha.com/images-nuxtcommerce/7390394-250-6.jpg</v>
      </c>
      <c r="J25" s="1" t="str">
        <f>IF(ISBLANK(A25),"",VLOOKUP(A25,products!A:H,8,0))</f>
        <v>XS, S, M, L, XL</v>
      </c>
      <c r="K25" s="1">
        <f>IF(ISBLANK(A25),"",VLOOKUP(A25,products!A:I,9,0))</f>
        <v>22.9</v>
      </c>
      <c r="L25" s="1">
        <f>IF(ISBLANK(A25),"",VLOOKUP(A25,products!A:J,10,0))</f>
        <v>45.9</v>
      </c>
      <c r="M25" s="9">
        <v>818</v>
      </c>
      <c r="N25" s="10" t="s">
        <v>61</v>
      </c>
      <c r="O25" s="1"/>
      <c r="P25" s="10"/>
    </row>
    <row r="26" spans="1:16" x14ac:dyDescent="0.2">
      <c r="A26" s="4">
        <v>7396338</v>
      </c>
      <c r="B26" s="12">
        <v>400</v>
      </c>
      <c r="C26" s="1" t="str">
        <f>IF(ISBLANK(A26),"",VLOOKUP(A26,products!A:G,7,0))</f>
        <v>Skirt</v>
      </c>
      <c r="D26" s="1" t="str">
        <f t="shared" si="0"/>
        <v>Blue</v>
      </c>
      <c r="E26" s="1" t="str">
        <f t="shared" si="1"/>
        <v>7396338-400</v>
      </c>
      <c r="F26" s="1" t="str">
        <f>IF(ISBLANK(A26),"",CONCATENATE(VLOOKUP(A26,products!A:C,3,0)," ",LOWER(D26)))</f>
        <v>Striped balloon mini skirt blue</v>
      </c>
      <c r="G26" s="1" t="str">
        <f>IF(ISBLANK(A26),"",CONCATENATE("&lt;ul&gt;&lt;li&gt;Model size:  ",VLOOKUP(A26,products!A:E,5,0),"&lt;/li&gt;&lt;li&gt;Model height:  ",VLOOKUP(A26,products!A:F,6,0)," cm&lt;/li&gt;&lt;li&gt;Colour:  ",D26,"&lt;/li&gt;&lt;li&gt;",VLOOKUP(A26,products!A:D,4,0),"&lt;/li&gt;&lt;/ul&gt;"))</f>
        <v>&lt;ul&gt;&lt;li&gt;Model size:  S&lt;/li&gt;&lt;li&gt;Model height:  175 cm&lt;/li&gt;&lt;li&gt;Colour:  Blue&lt;/li&gt;&lt;li&gt;Balloon mini skirt with a wide waist and striped print.&lt;/li&gt;&lt;/ul&gt;</v>
      </c>
      <c r="H26" s="1" t="str">
        <f t="shared" si="2"/>
        <v>Skirts &gt; Skirt, Skirts</v>
      </c>
      <c r="I26" s="1" t="str">
        <f t="shared" si="3"/>
        <v>https://host.zackha.com/images-nuxtcommerce/7396338-400-1.jpg, https://host.zackha.com/images-nuxtcommerce/7396338-400-2.jpg, https://host.zackha.com/images-nuxtcommerce/7396338-400-3.jpg, https://host.zackha.com/images-nuxtcommerce/7396338-400-4.jpg, https://host.zackha.com/images-nuxtcommerce/7396338-400-5.jpg, https://host.zackha.com/images-nuxtcommerce/7396338-400-6.jpg</v>
      </c>
      <c r="J26" s="1" t="str">
        <f>IF(ISBLANK(A26),"",VLOOKUP(A26,products!A:H,8,0))</f>
        <v>XS, S, M, L, XL</v>
      </c>
      <c r="K26" s="1">
        <f>IF(ISBLANK(A26),"",VLOOKUP(A26,products!A:I,9,0))</f>
        <v>25.9</v>
      </c>
      <c r="L26" s="1">
        <f>IF(ISBLANK(A26),"",VLOOKUP(A26,products!A:J,10,0))</f>
        <v>39.9</v>
      </c>
      <c r="M26" s="9">
        <v>605</v>
      </c>
      <c r="N26" s="10" t="s">
        <v>62</v>
      </c>
      <c r="O26" s="1"/>
      <c r="P26" s="10"/>
    </row>
    <row r="27" spans="1:16" x14ac:dyDescent="0.2">
      <c r="A27" s="4">
        <v>7570302</v>
      </c>
      <c r="B27" s="12">
        <v>600</v>
      </c>
      <c r="C27" s="1" t="str">
        <f>IF(ISBLANK(A27),"",VLOOKUP(A27,products!A:G,7,0))</f>
        <v>Vest</v>
      </c>
      <c r="D27" s="1" t="str">
        <f t="shared" si="0"/>
        <v>Red</v>
      </c>
      <c r="E27" s="1" t="str">
        <f t="shared" si="1"/>
        <v>7570302-600</v>
      </c>
      <c r="F27" s="1" t="str">
        <f>IF(ISBLANK(A27),"",CONCATENATE(VLOOKUP(A27,products!A:C,3,0)," ",LOWER(D27)))</f>
        <v>Purl knit vest red</v>
      </c>
      <c r="G27" s="1" t="str">
        <f>IF(ISBLANK(A27),"",CONCATENATE("&lt;ul&gt;&lt;li&gt;Model size:  ",VLOOKUP(A27,products!A:E,5,0),"&lt;/li&gt;&lt;li&gt;Model height:  ",VLOOKUP(A27,products!A:F,6,0)," cm&lt;/li&gt;&lt;li&gt;Colour:  ",D27,"&lt;/li&gt;&lt;li&gt;",VLOOKUP(A27,products!A:D,4,0),"&lt;/li&gt;&lt;/ul&gt;"))</f>
        <v>&lt;ul&gt;&lt;li&gt;Model size:  S&lt;/li&gt;&lt;li&gt;Model height:  174 cm&lt;/li&gt;&lt;li&gt;Colour:  Red&lt;/li&gt;&lt;li&gt;Purl knit vest. Available in assorted colors.&lt;/li&gt;&lt;/ul&gt;</v>
      </c>
      <c r="H27" s="1" t="str">
        <f t="shared" si="2"/>
        <v>Vests &gt; Vest, Vests</v>
      </c>
      <c r="I27" s="1" t="str">
        <f t="shared" si="3"/>
        <v>https://host.zackha.com/images-nuxtcommerce/7570302-600-1.jpg, https://host.zackha.com/images-nuxtcommerce/7570302-600-2.jpg, https://host.zackha.com/images-nuxtcommerce/7570302-600-3.jpg, https://host.zackha.com/images-nuxtcommerce/7570302-600-4.jpg, https://host.zackha.com/images-nuxtcommerce/7570302-600-5.jpg, https://host.zackha.com/images-nuxtcommerce/7570302-600-6.jpg</v>
      </c>
      <c r="J27" s="1" t="str">
        <f>IF(ISBLANK(A27),"",VLOOKUP(A27,products!A:H,8,0))</f>
        <v>XS, S, M, L</v>
      </c>
      <c r="K27" s="1">
        <f>IF(ISBLANK(A27),"",VLOOKUP(A27,products!A:I,9,0))</f>
        <v>35.9</v>
      </c>
      <c r="L27" s="1">
        <f>IF(ISBLANK(A27),"",VLOOKUP(A27,products!A:J,10,0))</f>
        <v>47.9</v>
      </c>
      <c r="M27" s="9">
        <v>526</v>
      </c>
      <c r="N27" s="10" t="s">
        <v>63</v>
      </c>
      <c r="O27" s="1"/>
      <c r="P27" s="10"/>
    </row>
    <row r="28" spans="1:16" x14ac:dyDescent="0.2">
      <c r="A28" s="4">
        <v>7570302</v>
      </c>
      <c r="B28" s="12">
        <v>800</v>
      </c>
      <c r="C28" s="1" t="str">
        <f>IF(ISBLANK(A28),"",VLOOKUP(A28,products!A:G,7,0))</f>
        <v>Vest</v>
      </c>
      <c r="D28" s="1" t="str">
        <f t="shared" si="0"/>
        <v>Black</v>
      </c>
      <c r="E28" s="1" t="str">
        <f t="shared" si="1"/>
        <v>7570302-800</v>
      </c>
      <c r="F28" s="1" t="str">
        <f>IF(ISBLANK(A28),"",CONCATENATE(VLOOKUP(A28,products!A:C,3,0)," ",LOWER(D28)))</f>
        <v>Purl knit vest black</v>
      </c>
      <c r="G28" s="1" t="str">
        <f>IF(ISBLANK(A28),"",CONCATENATE("&lt;ul&gt;&lt;li&gt;Model size:  ",VLOOKUP(A28,products!A:E,5,0),"&lt;/li&gt;&lt;li&gt;Model height:  ",VLOOKUP(A28,products!A:F,6,0)," cm&lt;/li&gt;&lt;li&gt;Colour:  ",D28,"&lt;/li&gt;&lt;li&gt;",VLOOKUP(A28,products!A:D,4,0),"&lt;/li&gt;&lt;/ul&gt;"))</f>
        <v>&lt;ul&gt;&lt;li&gt;Model size:  S&lt;/li&gt;&lt;li&gt;Model height:  174 cm&lt;/li&gt;&lt;li&gt;Colour:  Black&lt;/li&gt;&lt;li&gt;Purl knit vest. Available in assorted colors.&lt;/li&gt;&lt;/ul&gt;</v>
      </c>
      <c r="H28" s="1" t="str">
        <f t="shared" si="2"/>
        <v>Vests &gt; Vest, Vests</v>
      </c>
      <c r="I28" s="1" t="str">
        <f t="shared" si="3"/>
        <v>https://host.zackha.com/images-nuxtcommerce/7570302-800-1.jpg, https://host.zackha.com/images-nuxtcommerce/7570302-800-2.jpg, https://host.zackha.com/images-nuxtcommerce/7570302-800-3.jpg, https://host.zackha.com/images-nuxtcommerce/7570302-800-4.jpg, https://host.zackha.com/images-nuxtcommerce/7570302-800-5.jpg, https://host.zackha.com/images-nuxtcommerce/7570302-800-6.jpg</v>
      </c>
      <c r="J28" s="1" t="str">
        <f>IF(ISBLANK(A28),"",VLOOKUP(A28,products!A:H,8,0))</f>
        <v>XS, S, M, L</v>
      </c>
      <c r="K28" s="1">
        <f>IF(ISBLANK(A28),"",VLOOKUP(A28,products!A:I,9,0))</f>
        <v>35.9</v>
      </c>
      <c r="L28" s="1">
        <f>IF(ISBLANK(A28),"",VLOOKUP(A28,products!A:J,10,0))</f>
        <v>47.9</v>
      </c>
      <c r="M28" s="9">
        <v>623</v>
      </c>
      <c r="N28" s="10" t="s">
        <v>64</v>
      </c>
      <c r="O28" s="1"/>
      <c r="P28" s="10"/>
    </row>
    <row r="29" spans="1:16" x14ac:dyDescent="0.2">
      <c r="A29" s="4">
        <v>7570302</v>
      </c>
      <c r="B29" s="12">
        <v>506</v>
      </c>
      <c r="C29" s="1" t="str">
        <f>IF(ISBLANK(A29),"",VLOOKUP(A29,products!A:G,7,0))</f>
        <v>Vest</v>
      </c>
      <c r="D29" s="1" t="str">
        <f t="shared" si="0"/>
        <v>Pale Khaki</v>
      </c>
      <c r="E29" s="1" t="str">
        <f t="shared" si="1"/>
        <v>7570302-506</v>
      </c>
      <c r="F29" s="1" t="str">
        <f>IF(ISBLANK(A29),"",CONCATENATE(VLOOKUP(A29,products!A:C,3,0)," ",LOWER(D29)))</f>
        <v>Purl knit vest pale khaki</v>
      </c>
      <c r="G29" s="1" t="str">
        <f>IF(ISBLANK(A29),"",CONCATENATE("&lt;ul&gt;&lt;li&gt;Model size:  ",VLOOKUP(A29,products!A:E,5,0),"&lt;/li&gt;&lt;li&gt;Model height:  ",VLOOKUP(A29,products!A:F,6,0)," cm&lt;/li&gt;&lt;li&gt;Colour:  ",D29,"&lt;/li&gt;&lt;li&gt;",VLOOKUP(A29,products!A:D,4,0),"&lt;/li&gt;&lt;/ul&gt;"))</f>
        <v>&lt;ul&gt;&lt;li&gt;Model size:  S&lt;/li&gt;&lt;li&gt;Model height:  174 cm&lt;/li&gt;&lt;li&gt;Colour:  Pale Khaki&lt;/li&gt;&lt;li&gt;Purl knit vest. Available in assorted colors.&lt;/li&gt;&lt;/ul&gt;</v>
      </c>
      <c r="H29" s="1" t="str">
        <f t="shared" si="2"/>
        <v>Vests &gt; Vest, Vests</v>
      </c>
      <c r="I29" s="1" t="str">
        <f t="shared" si="3"/>
        <v>https://host.zackha.com/images-nuxtcommerce/7570302-506-1.jpg, https://host.zackha.com/images-nuxtcommerce/7570302-506-2.jpg, https://host.zackha.com/images-nuxtcommerce/7570302-506-3.jpg, https://host.zackha.com/images-nuxtcommerce/7570302-506-4.jpg, https://host.zackha.com/images-nuxtcommerce/7570302-506-5.jpg, https://host.zackha.com/images-nuxtcommerce/7570302-506-6.jpg</v>
      </c>
      <c r="J29" s="1" t="str">
        <f>IF(ISBLANK(A29),"",VLOOKUP(A29,products!A:H,8,0))</f>
        <v>XS, S, M, L</v>
      </c>
      <c r="K29" s="1">
        <f>IF(ISBLANK(A29),"",VLOOKUP(A29,products!A:I,9,0))</f>
        <v>35.9</v>
      </c>
      <c r="L29" s="1">
        <f>IF(ISBLANK(A29),"",VLOOKUP(A29,products!A:J,10,0))</f>
        <v>47.9</v>
      </c>
      <c r="M29" s="9">
        <v>600</v>
      </c>
      <c r="N29" s="10" t="s">
        <v>65</v>
      </c>
      <c r="O29" s="1"/>
      <c r="P29" s="10"/>
    </row>
    <row r="30" spans="1:16" x14ac:dyDescent="0.2">
      <c r="A30" s="4">
        <v>7593335</v>
      </c>
      <c r="B30" s="12">
        <v>811</v>
      </c>
      <c r="C30" s="1" t="str">
        <f>IF(ISBLANK(A30),"",VLOOKUP(A30,products!A:G,7,0))</f>
        <v>Sweatshirt</v>
      </c>
      <c r="D30" s="1" t="str">
        <f t="shared" si="0"/>
        <v>Pale Grey</v>
      </c>
      <c r="E30" s="1" t="str">
        <f t="shared" si="1"/>
        <v>7593335-811</v>
      </c>
      <c r="F30" s="1" t="str">
        <f>IF(ISBLANK(A30),"",CONCATENATE(VLOOKUP(A30,products!A:C,3,0)," ",LOWER(D30)))</f>
        <v>Faded sweatshirt pale grey</v>
      </c>
      <c r="G30" s="1" t="str">
        <f>IF(ISBLANK(A30),"",CONCATENATE("&lt;ul&gt;&lt;li&gt;Model size:  ",VLOOKUP(A30,products!A:E,5,0),"&lt;/li&gt;&lt;li&gt;Model height:  ",VLOOKUP(A30,products!A:F,6,0)," cm&lt;/li&gt;&lt;li&gt;Colour:  ",D30,"&lt;/li&gt;&lt;li&gt;",VLOOKUP(A30,products!A:D,4,0),"&lt;/li&gt;&lt;/ul&gt;"))</f>
        <v>&lt;ul&gt;&lt;li&gt;Model size:  M&lt;/li&gt;&lt;li&gt;Model height:  177 cm&lt;/li&gt;&lt;li&gt;Colour:  Pale Grey&lt;/li&gt;&lt;li&gt;Faded sweatshirt with long sleeves, round neckline and ribbed collar, hem and cuffs.&lt;/li&gt;&lt;/ul&gt;</v>
      </c>
      <c r="H30" s="1" t="str">
        <f t="shared" si="2"/>
        <v>Sweatshirts &amp; Hoodies &gt; Sweatshirts, Sweatshirts &amp; Hoodies</v>
      </c>
      <c r="I30" s="1" t="str">
        <f t="shared" si="3"/>
        <v>https://host.zackha.com/images-nuxtcommerce/7593335-811-1.jpg, https://host.zackha.com/images-nuxtcommerce/7593335-811-2.jpg, https://host.zackha.com/images-nuxtcommerce/7593335-811-3.jpg, https://host.zackha.com/images-nuxtcommerce/7593335-811-4.jpg, https://host.zackha.com/images-nuxtcommerce/7593335-811-5.jpg, https://host.zackha.com/images-nuxtcommerce/7593335-811-6.jpg</v>
      </c>
      <c r="J30" s="1" t="str">
        <f>IF(ISBLANK(A30),"",VLOOKUP(A30,products!A:H,8,0))</f>
        <v>XXS, XS, S, M, L, XL</v>
      </c>
      <c r="K30" s="1">
        <f>IF(ISBLANK(A30),"",VLOOKUP(A30,products!A:I,9,0))</f>
        <v>17.899999999999999</v>
      </c>
      <c r="L30" s="1">
        <f>IF(ISBLANK(A30),"",VLOOKUP(A30,products!A:J,10,0))</f>
        <v>35.9</v>
      </c>
      <c r="M30" s="9">
        <v>155</v>
      </c>
      <c r="N30" s="10" t="s">
        <v>66</v>
      </c>
      <c r="O30" s="1"/>
      <c r="P30" s="10"/>
    </row>
    <row r="31" spans="1:16" x14ac:dyDescent="0.2">
      <c r="A31" s="4">
        <v>7593335</v>
      </c>
      <c r="B31" s="12">
        <v>405</v>
      </c>
      <c r="C31" s="1" t="str">
        <f>IF(ISBLANK(A31),"",VLOOKUP(A31,products!A:G,7,0))</f>
        <v>Sweatshirt</v>
      </c>
      <c r="D31" s="1" t="str">
        <f t="shared" si="0"/>
        <v>Indigo</v>
      </c>
      <c r="E31" s="1" t="str">
        <f t="shared" si="1"/>
        <v>7593335-405</v>
      </c>
      <c r="F31" s="1" t="str">
        <f>IF(ISBLANK(A31),"",CONCATENATE(VLOOKUP(A31,products!A:C,3,0)," ",LOWER(D31)))</f>
        <v>Faded sweatshirt ındigo</v>
      </c>
      <c r="G31" s="1" t="str">
        <f>IF(ISBLANK(A31),"",CONCATENATE("&lt;ul&gt;&lt;li&gt;Model size:  ",VLOOKUP(A31,products!A:E,5,0),"&lt;/li&gt;&lt;li&gt;Model height:  ",VLOOKUP(A31,products!A:F,6,0)," cm&lt;/li&gt;&lt;li&gt;Colour:  ",D31,"&lt;/li&gt;&lt;li&gt;",VLOOKUP(A31,products!A:D,4,0),"&lt;/li&gt;&lt;/ul&gt;"))</f>
        <v>&lt;ul&gt;&lt;li&gt;Model size:  M&lt;/li&gt;&lt;li&gt;Model height:  177 cm&lt;/li&gt;&lt;li&gt;Colour:  Indigo&lt;/li&gt;&lt;li&gt;Faded sweatshirt with long sleeves, round neckline and ribbed collar, hem and cuffs.&lt;/li&gt;&lt;/ul&gt;</v>
      </c>
      <c r="H31" s="1" t="str">
        <f t="shared" si="2"/>
        <v>Sweatshirts &amp; Hoodies &gt; Sweatshirts, Sweatshirts &amp; Hoodies</v>
      </c>
      <c r="I31" s="1" t="str">
        <f t="shared" si="3"/>
        <v>https://host.zackha.com/images-nuxtcommerce/7593335-405-1.jpg, https://host.zackha.com/images-nuxtcommerce/7593335-405-2.jpg, https://host.zackha.com/images-nuxtcommerce/7593335-405-3.jpg, https://host.zackha.com/images-nuxtcommerce/7593335-405-4.jpg, https://host.zackha.com/images-nuxtcommerce/7593335-405-5.jpg, https://host.zackha.com/images-nuxtcommerce/7593335-405-6.jpg</v>
      </c>
      <c r="J31" s="1" t="str">
        <f>IF(ISBLANK(A31),"",VLOOKUP(A31,products!A:H,8,0))</f>
        <v>XXS, XS, S, M, L, XL</v>
      </c>
      <c r="K31" s="1">
        <f>IF(ISBLANK(A31),"",VLOOKUP(A31,products!A:I,9,0))</f>
        <v>17.899999999999999</v>
      </c>
      <c r="L31" s="1">
        <f>IF(ISBLANK(A31),"",VLOOKUP(A31,products!A:J,10,0))</f>
        <v>35.9</v>
      </c>
      <c r="M31" s="9">
        <v>428</v>
      </c>
      <c r="N31" s="10" t="s">
        <v>67</v>
      </c>
      <c r="O31" s="1"/>
      <c r="P31" s="10"/>
    </row>
    <row r="32" spans="1:16" x14ac:dyDescent="0.2">
      <c r="A32" s="4">
        <v>7593335</v>
      </c>
      <c r="B32" s="12">
        <v>506</v>
      </c>
      <c r="C32" s="1" t="str">
        <f>IF(ISBLANK(A32),"",VLOOKUP(A32,products!A:G,7,0))</f>
        <v>Sweatshirt</v>
      </c>
      <c r="D32" s="1" t="str">
        <f t="shared" si="0"/>
        <v>Pale Khaki</v>
      </c>
      <c r="E32" s="1" t="str">
        <f t="shared" si="1"/>
        <v>7593335-506</v>
      </c>
      <c r="F32" s="1" t="str">
        <f>IF(ISBLANK(A32),"",CONCATENATE(VLOOKUP(A32,products!A:C,3,0)," ",LOWER(D32)))</f>
        <v>Faded sweatshirt pale khaki</v>
      </c>
      <c r="G32" s="1" t="str">
        <f>IF(ISBLANK(A32),"",CONCATENATE("&lt;ul&gt;&lt;li&gt;Model size:  ",VLOOKUP(A32,products!A:E,5,0),"&lt;/li&gt;&lt;li&gt;Model height:  ",VLOOKUP(A32,products!A:F,6,0)," cm&lt;/li&gt;&lt;li&gt;Colour:  ",D32,"&lt;/li&gt;&lt;li&gt;",VLOOKUP(A32,products!A:D,4,0),"&lt;/li&gt;&lt;/ul&gt;"))</f>
        <v>&lt;ul&gt;&lt;li&gt;Model size:  M&lt;/li&gt;&lt;li&gt;Model height:  177 cm&lt;/li&gt;&lt;li&gt;Colour:  Pale Khaki&lt;/li&gt;&lt;li&gt;Faded sweatshirt with long sleeves, round neckline and ribbed collar, hem and cuffs.&lt;/li&gt;&lt;/ul&gt;</v>
      </c>
      <c r="H32" s="1" t="str">
        <f t="shared" si="2"/>
        <v>Sweatshirts &amp; Hoodies &gt; Sweatshirts, Sweatshirts &amp; Hoodies</v>
      </c>
      <c r="I32" s="1" t="str">
        <f t="shared" si="3"/>
        <v>https://host.zackha.com/images-nuxtcommerce/7593335-506-1.jpg, https://host.zackha.com/images-nuxtcommerce/7593335-506-2.jpg, https://host.zackha.com/images-nuxtcommerce/7593335-506-3.jpg, https://host.zackha.com/images-nuxtcommerce/7593335-506-4.jpg, https://host.zackha.com/images-nuxtcommerce/7593335-506-5.jpg, https://host.zackha.com/images-nuxtcommerce/7593335-506-6.jpg</v>
      </c>
      <c r="J32" s="1" t="str">
        <f>IF(ISBLANK(A32),"",VLOOKUP(A32,products!A:H,8,0))</f>
        <v>XXS, XS, S, M, L, XL</v>
      </c>
      <c r="K32" s="1">
        <f>IF(ISBLANK(A32),"",VLOOKUP(A32,products!A:I,9,0))</f>
        <v>17.899999999999999</v>
      </c>
      <c r="L32" s="1">
        <f>IF(ISBLANK(A32),"",VLOOKUP(A32,products!A:J,10,0))</f>
        <v>35.9</v>
      </c>
      <c r="M32" s="11">
        <v>426</v>
      </c>
      <c r="N32" s="10" t="s">
        <v>104</v>
      </c>
      <c r="O32" s="1"/>
      <c r="P32" s="10"/>
    </row>
    <row r="33" spans="1:16" x14ac:dyDescent="0.2">
      <c r="A33" s="4">
        <v>7640311</v>
      </c>
      <c r="B33" s="12">
        <v>711</v>
      </c>
      <c r="C33" s="1" t="str">
        <f>IF(ISBLANK(A33),"",VLOOKUP(A33,products!A:G,7,0))</f>
        <v>Jumpsuit</v>
      </c>
      <c r="D33" s="1" t="str">
        <f t="shared" si="0"/>
        <v>Sand</v>
      </c>
      <c r="E33" s="1" t="str">
        <f t="shared" si="1"/>
        <v>7640311-711</v>
      </c>
      <c r="F33" s="1" t="str">
        <f>IF(ISBLANK(A33),"",CONCATENATE(VLOOKUP(A33,products!A:C,3,0)," ",LOWER(D33)))</f>
        <v>Crochet jumpsuit sand</v>
      </c>
      <c r="G33" s="1" t="str">
        <f>IF(ISBLANK(A33),"",CONCATENATE("&lt;ul&gt;&lt;li&gt;Model size:  ",VLOOKUP(A33,products!A:E,5,0),"&lt;/li&gt;&lt;li&gt;Model height:  ",VLOOKUP(A33,products!A:F,6,0)," cm&lt;/li&gt;&lt;li&gt;Colour:  ",D33,"&lt;/li&gt;&lt;li&gt;",VLOOKUP(A33,products!A:D,4,0),"&lt;/li&gt;&lt;/ul&gt;"))</f>
        <v>&lt;ul&gt;&lt;li&gt;Model size:  S&lt;/li&gt;&lt;li&gt;Model height:  176 cm&lt;/li&gt;&lt;li&gt;Colour:  Sand&lt;/li&gt;&lt;li&gt;Crochet knit romper with openwork detail and tassels, a halter neck and an open back. No lining.&lt;/li&gt;&lt;/ul&gt;</v>
      </c>
      <c r="H33" s="1" t="str">
        <f t="shared" si="2"/>
        <v>Jumpsuits &gt; Jumpsuit, Jumpsuits</v>
      </c>
      <c r="I33" s="1" t="str">
        <f t="shared" si="3"/>
        <v>https://host.zackha.com/images-nuxtcommerce/7640311-711-1.jpg, https://host.zackha.com/images-nuxtcommerce/7640311-711-2.jpg, https://host.zackha.com/images-nuxtcommerce/7640311-711-3.jpg, https://host.zackha.com/images-nuxtcommerce/7640311-711-4.jpg, https://host.zackha.com/images-nuxtcommerce/7640311-711-5.jpg, https://host.zackha.com/images-nuxtcommerce/7640311-711-6.jpg</v>
      </c>
      <c r="J33" s="1" t="str">
        <f>IF(ISBLANK(A33),"",VLOOKUP(A33,products!A:H,8,0))</f>
        <v>S, M, L</v>
      </c>
      <c r="K33" s="1">
        <f>IF(ISBLANK(A33),"",VLOOKUP(A33,products!A:I,9,0))</f>
        <v>45.9</v>
      </c>
      <c r="L33" s="1">
        <f>IF(ISBLANK(A33),"",VLOOKUP(A33,products!A:J,10,0))</f>
        <v>65.900000000000006</v>
      </c>
      <c r="M33" s="9">
        <v>401</v>
      </c>
      <c r="N33" s="10" t="s">
        <v>105</v>
      </c>
      <c r="O33" s="1"/>
      <c r="P33" s="10"/>
    </row>
    <row r="34" spans="1:16" x14ac:dyDescent="0.2">
      <c r="A34" s="4">
        <v>7686330</v>
      </c>
      <c r="B34" s="12">
        <v>807</v>
      </c>
      <c r="C34" s="1" t="str">
        <f>IF(ISBLANK(A34),"",VLOOKUP(A34,products!A:G,7,0))</f>
        <v>Jean</v>
      </c>
      <c r="D34" s="1" t="str">
        <f t="shared" si="0"/>
        <v>Anthracite Grey</v>
      </c>
      <c r="E34" s="1" t="str">
        <f t="shared" si="1"/>
        <v>7686330-807</v>
      </c>
      <c r="F34" s="1" t="str">
        <f>IF(ISBLANK(A34),"",CONCATENATE(VLOOKUP(A34,products!A:C,3,0)," ",LOWER(D34)))</f>
        <v>Basic mom jeans anthracite grey</v>
      </c>
      <c r="G34" s="1" t="str">
        <f>IF(ISBLANK(A34),"",CONCATENATE("&lt;ul&gt;&lt;li&gt;Model size:  ",VLOOKUP(A34,products!A:E,5,0),"&lt;/li&gt;&lt;li&gt;Model height:  ",VLOOKUP(A34,products!A:F,6,0)," cm&lt;/li&gt;&lt;li&gt;Colour:  ",D34,"&lt;/li&gt;&lt;li&gt;",VLOOKUP(A34,products!A:D,4,0),"&lt;/li&gt;&lt;/ul&gt;"))</f>
        <v>&lt;ul&gt;&lt;li&gt;Model size:  28-29&lt;/li&gt;&lt;li&gt;Model height:  178 cm&lt;/li&gt;&lt;li&gt;Colour:  Anthracite Grey&lt;/li&gt;&lt;li&gt;Basic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H34" s="1" t="str">
        <f t="shared" si="2"/>
        <v>Jeans &gt; Jean, Jeans</v>
      </c>
      <c r="I34" s="1" t="str">
        <f t="shared" si="3"/>
        <v>https://host.zackha.com/images-nuxtcommerce/7686330-807-1.jpg, https://host.zackha.com/images-nuxtcommerce/7686330-807-2.jpg, https://host.zackha.com/images-nuxtcommerce/7686330-807-3.jpg, https://host.zackha.com/images-nuxtcommerce/7686330-807-4.jpg, https://host.zackha.com/images-nuxtcommerce/7686330-807-5.jpg, https://host.zackha.com/images-nuxtcommerce/7686330-807-6.jpg</v>
      </c>
      <c r="J34" s="1" t="str">
        <f>IF(ISBLANK(A34),"",VLOOKUP(A34,products!A:H,8,0))</f>
        <v>23-24, 25, 26-27, 28-29, 30, 31-32, 33, 34-35</v>
      </c>
      <c r="K34" s="1">
        <f>IF(ISBLANK(A34),"",VLOOKUP(A34,products!A:I,9,0))</f>
        <v>22.9</v>
      </c>
      <c r="L34" s="1">
        <f>IF(ISBLANK(A34),"",VLOOKUP(A34,products!A:J,10,0))</f>
        <v>35.9</v>
      </c>
      <c r="M34" s="9">
        <v>406</v>
      </c>
      <c r="N34" s="10" t="s">
        <v>106</v>
      </c>
      <c r="O34" s="1"/>
      <c r="P34" s="10"/>
    </row>
    <row r="35" spans="1:16" x14ac:dyDescent="0.2">
      <c r="A35" s="4">
        <v>7686330</v>
      </c>
      <c r="B35" s="12">
        <v>426</v>
      </c>
      <c r="C35" s="1" t="str">
        <f>IF(ISBLANK(A35),"",VLOOKUP(A35,products!A:G,7,0))</f>
        <v>Jean</v>
      </c>
      <c r="D35" s="1" t="str">
        <f t="shared" si="0"/>
        <v>Water Blue</v>
      </c>
      <c r="E35" s="1" t="str">
        <f t="shared" si="1"/>
        <v>7686330-426</v>
      </c>
      <c r="F35" s="1" t="str">
        <f>IF(ISBLANK(A35),"",CONCATENATE(VLOOKUP(A35,products!A:C,3,0)," ",LOWER(D35)))</f>
        <v>Basic mom jeans water blue</v>
      </c>
      <c r="G35" s="1" t="str">
        <f>IF(ISBLANK(A35),"",CONCATENATE("&lt;ul&gt;&lt;li&gt;Model size:  ",VLOOKUP(A35,products!A:E,5,0),"&lt;/li&gt;&lt;li&gt;Model height:  ",VLOOKUP(A35,products!A:F,6,0)," cm&lt;/li&gt;&lt;li&gt;Colour:  ",D35,"&lt;/li&gt;&lt;li&gt;",VLOOKUP(A35,products!A:D,4,0),"&lt;/li&gt;&lt;/ul&gt;"))</f>
        <v>&lt;ul&gt;&lt;li&gt;Model size:  28-29&lt;/li&gt;&lt;li&gt;Model height:  178 cm&lt;/li&gt;&lt;li&gt;Colour:  Water Blue&lt;/li&gt;&lt;li&gt;Basic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H35" s="1" t="str">
        <f t="shared" si="2"/>
        <v>Jeans &gt; Jean, Jeans</v>
      </c>
      <c r="I35" s="1" t="str">
        <f t="shared" si="3"/>
        <v>https://host.zackha.com/images-nuxtcommerce/7686330-426-1.jpg, https://host.zackha.com/images-nuxtcommerce/7686330-426-2.jpg, https://host.zackha.com/images-nuxtcommerce/7686330-426-3.jpg, https://host.zackha.com/images-nuxtcommerce/7686330-426-4.jpg, https://host.zackha.com/images-nuxtcommerce/7686330-426-5.jpg, https://host.zackha.com/images-nuxtcommerce/7686330-426-6.jpg</v>
      </c>
      <c r="J35" s="1" t="str">
        <f>IF(ISBLANK(A35),"",VLOOKUP(A35,products!A:H,8,0))</f>
        <v>23-24, 25, 26-27, 28-29, 30, 31-32, 33, 34-35</v>
      </c>
      <c r="K35" s="1">
        <f>IF(ISBLANK(A35),"",VLOOKUP(A35,products!A:I,9,0))</f>
        <v>22.9</v>
      </c>
      <c r="L35" s="1">
        <f>IF(ISBLANK(A35),"",VLOOKUP(A35,products!A:J,10,0))</f>
        <v>35.9</v>
      </c>
      <c r="M35" s="9">
        <v>832</v>
      </c>
      <c r="N35" s="10" t="s">
        <v>107</v>
      </c>
      <c r="O35" s="1"/>
      <c r="P35" s="10"/>
    </row>
    <row r="36" spans="1:16" x14ac:dyDescent="0.2">
      <c r="A36" s="4">
        <v>7686330</v>
      </c>
      <c r="B36" s="12">
        <v>401</v>
      </c>
      <c r="C36" s="1" t="str">
        <f>IF(ISBLANK(A36),"",VLOOKUP(A36,products!A:G,7,0))</f>
        <v>Jean</v>
      </c>
      <c r="D36" s="1" t="str">
        <f t="shared" si="0"/>
        <v>Navy</v>
      </c>
      <c r="E36" s="1" t="str">
        <f t="shared" si="1"/>
        <v>7686330-401</v>
      </c>
      <c r="F36" s="1" t="str">
        <f>IF(ISBLANK(A36),"",CONCATENATE(VLOOKUP(A36,products!A:C,3,0)," ",LOWER(D36)))</f>
        <v>Basic mom jeans navy</v>
      </c>
      <c r="G36" s="1" t="str">
        <f>IF(ISBLANK(A36),"",CONCATENATE("&lt;ul&gt;&lt;li&gt;Model size:  ",VLOOKUP(A36,products!A:E,5,0),"&lt;/li&gt;&lt;li&gt;Model height:  ",VLOOKUP(A36,products!A:F,6,0)," cm&lt;/li&gt;&lt;li&gt;Colour:  ",D36,"&lt;/li&gt;&lt;li&gt;",VLOOKUP(A36,products!A:D,4,0),"&lt;/li&gt;&lt;/ul&gt;"))</f>
        <v>&lt;ul&gt;&lt;li&gt;Model size:  28-29&lt;/li&gt;&lt;li&gt;Model height:  178 cm&lt;/li&gt;&lt;li&gt;Colour:  Navy&lt;/li&gt;&lt;li&gt;Basic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H36" s="1" t="str">
        <f t="shared" si="2"/>
        <v>Jeans &gt; Jean, Jeans</v>
      </c>
      <c r="I36" s="1" t="str">
        <f t="shared" si="3"/>
        <v>https://host.zackha.com/images-nuxtcommerce/7686330-401-1.jpg, https://host.zackha.com/images-nuxtcommerce/7686330-401-2.jpg, https://host.zackha.com/images-nuxtcommerce/7686330-401-3.jpg, https://host.zackha.com/images-nuxtcommerce/7686330-401-4.jpg, https://host.zackha.com/images-nuxtcommerce/7686330-401-5.jpg, https://host.zackha.com/images-nuxtcommerce/7686330-401-6.jpg</v>
      </c>
      <c r="J36" s="1" t="str">
        <f>IF(ISBLANK(A36),"",VLOOKUP(A36,products!A:H,8,0))</f>
        <v>23-24, 25, 26-27, 28-29, 30, 31-32, 33, 34-35</v>
      </c>
      <c r="K36" s="1">
        <f>IF(ISBLANK(A36),"",VLOOKUP(A36,products!A:I,9,0))</f>
        <v>22.9</v>
      </c>
      <c r="L36" s="1">
        <f>IF(ISBLANK(A36),"",VLOOKUP(A36,products!A:J,10,0))</f>
        <v>35.9</v>
      </c>
      <c r="M36" s="9">
        <v>736</v>
      </c>
      <c r="N36" s="10" t="s">
        <v>108</v>
      </c>
      <c r="O36" s="1"/>
      <c r="P36" s="10"/>
    </row>
    <row r="37" spans="1:16" x14ac:dyDescent="0.2">
      <c r="A37" s="4">
        <v>7686330</v>
      </c>
      <c r="B37" s="12">
        <v>428</v>
      </c>
      <c r="C37" s="1" t="str">
        <f>IF(ISBLANK(A37),"",VLOOKUP(A37,products!A:G,7,0))</f>
        <v>Jean</v>
      </c>
      <c r="D37" s="1" t="str">
        <f t="shared" si="0"/>
        <v>Faded Blue</v>
      </c>
      <c r="E37" s="1" t="str">
        <f t="shared" si="1"/>
        <v>7686330-428</v>
      </c>
      <c r="F37" s="1" t="str">
        <f>IF(ISBLANK(A37),"",CONCATENATE(VLOOKUP(A37,products!A:C,3,0)," ",LOWER(D37)))</f>
        <v>Basic mom jeans faded blue</v>
      </c>
      <c r="G37" s="1" t="str">
        <f>IF(ISBLANK(A37),"",CONCATENATE("&lt;ul&gt;&lt;li&gt;Model size:  ",VLOOKUP(A37,products!A:E,5,0),"&lt;/li&gt;&lt;li&gt;Model height:  ",VLOOKUP(A37,products!A:F,6,0)," cm&lt;/li&gt;&lt;li&gt;Colour:  ",D37,"&lt;/li&gt;&lt;li&gt;",VLOOKUP(A37,products!A:D,4,0),"&lt;/li&gt;&lt;/ul&gt;"))</f>
        <v>&lt;ul&gt;&lt;li&gt;Model size:  28-29&lt;/li&gt;&lt;li&gt;Model height:  178 cm&lt;/li&gt;&lt;li&gt;Colour:  Faded Blue&lt;/li&gt;&lt;li&gt;Basic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H37" s="1" t="str">
        <f t="shared" si="2"/>
        <v>Jeans &gt; Jean, Jeans</v>
      </c>
      <c r="I37" s="1" t="str">
        <f t="shared" si="3"/>
        <v>https://host.zackha.com/images-nuxtcommerce/7686330-428-1.jpg, https://host.zackha.com/images-nuxtcommerce/7686330-428-2.jpg, https://host.zackha.com/images-nuxtcommerce/7686330-428-3.jpg, https://host.zackha.com/images-nuxtcommerce/7686330-428-4.jpg, https://host.zackha.com/images-nuxtcommerce/7686330-428-5.jpg, https://host.zackha.com/images-nuxtcommerce/7686330-428-6.jpg</v>
      </c>
      <c r="J37" s="1" t="str">
        <f>IF(ISBLANK(A37),"",VLOOKUP(A37,products!A:H,8,0))</f>
        <v>23-24, 25, 26-27, 28-29, 30, 31-32, 33, 34-35</v>
      </c>
      <c r="K37" s="1">
        <f>IF(ISBLANK(A37),"",VLOOKUP(A37,products!A:I,9,0))</f>
        <v>22.9</v>
      </c>
      <c r="L37" s="1">
        <f>IF(ISBLANK(A37),"",VLOOKUP(A37,products!A:J,10,0))</f>
        <v>35.9</v>
      </c>
      <c r="M37" s="9">
        <v>518</v>
      </c>
      <c r="N37" s="10" t="s">
        <v>109</v>
      </c>
      <c r="O37" s="1"/>
      <c r="P37" s="10"/>
    </row>
    <row r="38" spans="1:16" x14ac:dyDescent="0.2">
      <c r="A38" s="4">
        <v>7693326</v>
      </c>
      <c r="B38" s="12">
        <v>423</v>
      </c>
      <c r="C38" s="1" t="str">
        <f>IF(ISBLANK(A38),"",VLOOKUP(A38,products!A:G,7,0))</f>
        <v>Short</v>
      </c>
      <c r="D38" s="1" t="str">
        <f t="shared" si="0"/>
        <v>Pastel Blue</v>
      </c>
      <c r="E38" s="1" t="str">
        <f t="shared" si="1"/>
        <v>7693326-423</v>
      </c>
      <c r="F38" s="1" t="str">
        <f>IF(ISBLANK(A38),"",CONCATENATE(VLOOKUP(A38,products!A:C,3,0)," ",LOWER(D38)))</f>
        <v>Blue striped boxer shorts pastel blue</v>
      </c>
      <c r="G38" s="1" t="str">
        <f>IF(ISBLANK(A38),"",CONCATENATE("&lt;ul&gt;&lt;li&gt;Model size:  ",VLOOKUP(A38,products!A:E,5,0),"&lt;/li&gt;&lt;li&gt;Model height:  ",VLOOKUP(A38,products!A:F,6,0)," cm&lt;/li&gt;&lt;li&gt;Colour:  ",D38,"&lt;/li&gt;&lt;li&gt;",VLOOKUP(A38,products!A:D,4,0),"&lt;/li&gt;&lt;/ul&gt;"))</f>
        <v>&lt;ul&gt;&lt;li&gt;Model size:  S&lt;/li&gt;&lt;li&gt;Model height:  175 cm&lt;/li&gt;&lt;li&gt;Colour:  Pastel Blue&lt;/li&gt;&lt;li&gt;Pajama-style boxer shorts with a striped print in white and blue tones and an elasticated waistband. Made of 100% cotton.&lt;/li&gt;&lt;/ul&gt;</v>
      </c>
      <c r="H38" s="1" t="str">
        <f t="shared" si="2"/>
        <v>Shorts &gt; Short, Shorts</v>
      </c>
      <c r="I38" s="1" t="str">
        <f t="shared" si="3"/>
        <v>https://host.zackha.com/images-nuxtcommerce/7693326-423-1.jpg, https://host.zackha.com/images-nuxtcommerce/7693326-423-2.jpg, https://host.zackha.com/images-nuxtcommerce/7693326-423-3.jpg, https://host.zackha.com/images-nuxtcommerce/7693326-423-4.jpg, https://host.zackha.com/images-nuxtcommerce/7693326-423-5.jpg, https://host.zackha.com/images-nuxtcommerce/7693326-423-6.jpg</v>
      </c>
      <c r="J38" s="1" t="str">
        <f>IF(ISBLANK(A38),"",VLOOKUP(A38,products!A:H,8,0))</f>
        <v>XS, S, M, L, XL</v>
      </c>
      <c r="K38" s="1">
        <f>IF(ISBLANK(A38),"",VLOOKUP(A38,products!A:I,9,0))</f>
        <v>29.9</v>
      </c>
      <c r="L38" s="1">
        <f>IF(ISBLANK(A38),"",VLOOKUP(A38,products!A:J,10,0))</f>
        <v>39.9</v>
      </c>
      <c r="M38" s="9">
        <v>405</v>
      </c>
      <c r="N38" s="10" t="s">
        <v>110</v>
      </c>
      <c r="O38" s="1"/>
      <c r="P38" s="10"/>
    </row>
    <row r="39" spans="1:16" x14ac:dyDescent="0.2">
      <c r="A39" s="4">
        <v>7693406</v>
      </c>
      <c r="B39" s="12">
        <v>420</v>
      </c>
      <c r="C39" s="1" t="str">
        <f>IF(ISBLANK(A39),"",VLOOKUP(A39,products!A:G,7,0))</f>
        <v>Short</v>
      </c>
      <c r="D39" s="1" t="str">
        <f t="shared" si="0"/>
        <v>Deep Blue</v>
      </c>
      <c r="E39" s="1" t="str">
        <f t="shared" si="1"/>
        <v>7693406-420</v>
      </c>
      <c r="F39" s="1" t="str">
        <f>IF(ISBLANK(A39),"",CONCATENATE(VLOOKUP(A39,products!A:C,3,0)," ",LOWER(D39)))</f>
        <v>Fitted shorts with fold-over waist detail deep blue</v>
      </c>
      <c r="G39" s="1" t="str">
        <f>IF(ISBLANK(A39),"",CONCATENATE("&lt;ul&gt;&lt;li&gt;Model size:  ",VLOOKUP(A39,products!A:E,5,0),"&lt;/li&gt;&lt;li&gt;Model height:  ",VLOOKUP(A39,products!A:F,6,0)," cm&lt;/li&gt;&lt;li&gt;Colour:  ",D39,"&lt;/li&gt;&lt;li&gt;",VLOOKUP(A39,products!A:D,4,0),"&lt;/li&gt;&lt;/ul&gt;"))</f>
        <v>&lt;ul&gt;&lt;li&gt;Model size:  S&lt;/li&gt;&lt;li&gt;Model height:  175 cm&lt;/li&gt;&lt;li&gt;Colour:  Deep Blue&lt;/li&gt;&lt;li&gt;Fitted shorts with fold-over waist detail. Made of stretch fabric.&lt;/li&gt;&lt;/ul&gt;</v>
      </c>
      <c r="H39" s="1" t="str">
        <f t="shared" si="2"/>
        <v>Shorts &gt; Short, Shorts</v>
      </c>
      <c r="I39" s="1" t="str">
        <f t="shared" si="3"/>
        <v>https://host.zackha.com/images-nuxtcommerce/7693406-420-1.jpg, https://host.zackha.com/images-nuxtcommerce/7693406-420-2.jpg, https://host.zackha.com/images-nuxtcommerce/7693406-420-3.jpg, https://host.zackha.com/images-nuxtcommerce/7693406-420-4.jpg, https://host.zackha.com/images-nuxtcommerce/7693406-420-5.jpg, https://host.zackha.com/images-nuxtcommerce/7693406-420-6.jpg</v>
      </c>
      <c r="J39" s="1" t="str">
        <f>IF(ISBLANK(A39),"",VLOOKUP(A39,products!A:H,8,0))</f>
        <v>XS, S, M, L, XL</v>
      </c>
      <c r="K39" s="1">
        <f>IF(ISBLANK(A39),"",VLOOKUP(A39,products!A:I,9,0))</f>
        <v>27.9</v>
      </c>
      <c r="L39" s="1">
        <f>IF(ISBLANK(A39),"",VLOOKUP(A39,products!A:J,10,0))</f>
        <v>35.9</v>
      </c>
      <c r="M39" s="9">
        <v>506</v>
      </c>
      <c r="N39" s="10" t="s">
        <v>111</v>
      </c>
      <c r="O39" s="1"/>
      <c r="P39" s="10"/>
    </row>
    <row r="40" spans="1:16" x14ac:dyDescent="0.2">
      <c r="A40" s="4">
        <v>7693406</v>
      </c>
      <c r="B40" s="12">
        <v>306</v>
      </c>
      <c r="C40" s="1" t="str">
        <f>IF(ISBLANK(A40),"",VLOOKUP(A40,products!A:G,7,0))</f>
        <v>Short</v>
      </c>
      <c r="D40" s="1" t="str">
        <f t="shared" si="0"/>
        <v>Pale Yellow</v>
      </c>
      <c r="E40" s="1" t="str">
        <f t="shared" si="1"/>
        <v>7693406-306</v>
      </c>
      <c r="F40" s="1" t="str">
        <f>IF(ISBLANK(A40),"",CONCATENATE(VLOOKUP(A40,products!A:C,3,0)," ",LOWER(D40)))</f>
        <v>Fitted shorts with fold-over waist detail pale yellow</v>
      </c>
      <c r="G40" s="1" t="str">
        <f>IF(ISBLANK(A40),"",CONCATENATE("&lt;ul&gt;&lt;li&gt;Model size:  ",VLOOKUP(A40,products!A:E,5,0),"&lt;/li&gt;&lt;li&gt;Model height:  ",VLOOKUP(A40,products!A:F,6,0)," cm&lt;/li&gt;&lt;li&gt;Colour:  ",D40,"&lt;/li&gt;&lt;li&gt;",VLOOKUP(A40,products!A:D,4,0),"&lt;/li&gt;&lt;/ul&gt;"))</f>
        <v>&lt;ul&gt;&lt;li&gt;Model size:  S&lt;/li&gt;&lt;li&gt;Model height:  175 cm&lt;/li&gt;&lt;li&gt;Colour:  Pale Yellow&lt;/li&gt;&lt;li&gt;Fitted shorts with fold-over waist detail. Made of stretch fabric.&lt;/li&gt;&lt;/ul&gt;</v>
      </c>
      <c r="H40" s="1" t="str">
        <f t="shared" si="2"/>
        <v>Shorts &gt; Short, Shorts</v>
      </c>
      <c r="I40" s="1" t="str">
        <f t="shared" si="3"/>
        <v>https://host.zackha.com/images-nuxtcommerce/7693406-306-1.jpg, https://host.zackha.com/images-nuxtcommerce/7693406-306-2.jpg, https://host.zackha.com/images-nuxtcommerce/7693406-306-3.jpg, https://host.zackha.com/images-nuxtcommerce/7693406-306-4.jpg, https://host.zackha.com/images-nuxtcommerce/7693406-306-5.jpg, https://host.zackha.com/images-nuxtcommerce/7693406-306-6.jpg</v>
      </c>
      <c r="J40" s="1" t="str">
        <f>IF(ISBLANK(A40),"",VLOOKUP(A40,products!A:H,8,0))</f>
        <v>XS, S, M, L, XL</v>
      </c>
      <c r="K40" s="1">
        <f>IF(ISBLANK(A40),"",VLOOKUP(A40,products!A:I,9,0))</f>
        <v>27.9</v>
      </c>
      <c r="L40" s="1">
        <f>IF(ISBLANK(A40),"",VLOOKUP(A40,products!A:J,10,0))</f>
        <v>35.9</v>
      </c>
      <c r="M40" s="9">
        <v>811</v>
      </c>
      <c r="N40" s="10" t="s">
        <v>112</v>
      </c>
      <c r="O40" s="1"/>
      <c r="P40" s="10"/>
    </row>
    <row r="41" spans="1:16" x14ac:dyDescent="0.2">
      <c r="A41" s="4">
        <v>7710322</v>
      </c>
      <c r="B41" s="13">
        <v>711</v>
      </c>
      <c r="C41" s="1" t="str">
        <f>IF(ISBLANK(A41),"",VLOOKUP(A41,products!A:G,7,0))</f>
        <v>Jacket</v>
      </c>
      <c r="D41" s="1" t="str">
        <f t="shared" si="0"/>
        <v>Sand</v>
      </c>
      <c r="E41" s="1" t="str">
        <f t="shared" si="1"/>
        <v>7710322-711</v>
      </c>
      <c r="F41" s="1" t="str">
        <f>IF(ISBLANK(A41),"",CONCATENATE(VLOOKUP(A41,products!A:C,3,0)," ",LOWER(D41)))</f>
        <v>Cropped jacket with back pleats sand</v>
      </c>
      <c r="G41" s="1" t="str">
        <f>IF(ISBLANK(A41),"",CONCATENATE("&lt;ul&gt;&lt;li&gt;Model size:  ",VLOOKUP(A41,products!A:E,5,0),"&lt;/li&gt;&lt;li&gt;Model height:  ",VLOOKUP(A41,products!A:F,6,0)," cm&lt;/li&gt;&lt;li&gt;Colour:  ",D41,"&lt;/li&gt;&lt;li&gt;",VLOOKUP(A41,products!A:D,4,0),"&lt;/li&gt;&lt;/ul&gt;"))</f>
        <v>&lt;ul&gt;&lt;li&gt;Model size:  S&lt;/li&gt;&lt;li&gt;Model height:  175 cm&lt;/li&gt;&lt;li&gt;Colour:  Sand&lt;/li&gt;&lt;li&gt;Cropped jacket with pleated detailing on the back, a frayed hem, pockets and button-up front.&lt;/li&gt;&lt;/ul&gt;</v>
      </c>
      <c r="H41" s="1" t="str">
        <f t="shared" si="2"/>
        <v>Jackets &gt; Jacket, Jackets</v>
      </c>
      <c r="I41" s="1" t="str">
        <f t="shared" si="3"/>
        <v>https://host.zackha.com/images-nuxtcommerce/7710322-711-1.jpg, https://host.zackha.com/images-nuxtcommerce/7710322-711-2.jpg, https://host.zackha.com/images-nuxtcommerce/7710322-711-3.jpg, https://host.zackha.com/images-nuxtcommerce/7710322-711-4.jpg, https://host.zackha.com/images-nuxtcommerce/7710322-711-5.jpg, https://host.zackha.com/images-nuxtcommerce/7710322-711-6.jpg</v>
      </c>
      <c r="J41" s="1" t="str">
        <f>IF(ISBLANK(A41),"",VLOOKUP(A41,products!A:H,8,0))</f>
        <v>XS, S, M, L, XL</v>
      </c>
      <c r="K41" s="1">
        <f>IF(ISBLANK(A41),"",VLOOKUP(A41,products!A:I,9,0))</f>
        <v>45.9</v>
      </c>
      <c r="L41" s="1">
        <f>IF(ISBLANK(A41),"",VLOOKUP(A41,products!A:J,10,0))</f>
        <v>65.900000000000006</v>
      </c>
      <c r="M41" s="9">
        <v>450</v>
      </c>
      <c r="N41" s="10" t="s">
        <v>113</v>
      </c>
      <c r="O41" s="1"/>
      <c r="P41" s="10"/>
    </row>
    <row r="42" spans="1:16" x14ac:dyDescent="0.2">
      <c r="A42" s="4">
        <v>7710322</v>
      </c>
      <c r="B42" s="12">
        <v>505</v>
      </c>
      <c r="C42" s="1" t="str">
        <f>IF(ISBLANK(A42),"",VLOOKUP(A42,products!A:G,7,0))</f>
        <v>Jacket</v>
      </c>
      <c r="D42" s="1" t="str">
        <f t="shared" si="0"/>
        <v>Khaki</v>
      </c>
      <c r="E42" s="1" t="str">
        <f t="shared" si="1"/>
        <v>7710322-505</v>
      </c>
      <c r="F42" s="1" t="str">
        <f>IF(ISBLANK(A42),"",CONCATENATE(VLOOKUP(A42,products!A:C,3,0)," ",LOWER(D42)))</f>
        <v>Cropped jacket with back pleats khaki</v>
      </c>
      <c r="G42" s="1" t="str">
        <f>IF(ISBLANK(A42),"",CONCATENATE("&lt;ul&gt;&lt;li&gt;Model size:  ",VLOOKUP(A42,products!A:E,5,0),"&lt;/li&gt;&lt;li&gt;Model height:  ",VLOOKUP(A42,products!A:F,6,0)," cm&lt;/li&gt;&lt;li&gt;Colour:  ",D42,"&lt;/li&gt;&lt;li&gt;",VLOOKUP(A42,products!A:D,4,0),"&lt;/li&gt;&lt;/ul&gt;"))</f>
        <v>&lt;ul&gt;&lt;li&gt;Model size:  S&lt;/li&gt;&lt;li&gt;Model height:  175 cm&lt;/li&gt;&lt;li&gt;Colour:  Khaki&lt;/li&gt;&lt;li&gt;Cropped jacket with pleated detailing on the back, a frayed hem, pockets and button-up front.&lt;/li&gt;&lt;/ul&gt;</v>
      </c>
      <c r="H42" s="1" t="str">
        <f t="shared" si="2"/>
        <v>Jackets &gt; Jacket, Jackets</v>
      </c>
      <c r="I42" s="1" t="str">
        <f t="shared" si="3"/>
        <v>https://host.zackha.com/images-nuxtcommerce/7710322-505-1.jpg, https://host.zackha.com/images-nuxtcommerce/7710322-505-2.jpg, https://host.zackha.com/images-nuxtcommerce/7710322-505-3.jpg, https://host.zackha.com/images-nuxtcommerce/7710322-505-4.jpg, https://host.zackha.com/images-nuxtcommerce/7710322-505-5.jpg, https://host.zackha.com/images-nuxtcommerce/7710322-505-6.jpg</v>
      </c>
      <c r="J42" s="1" t="str">
        <f>IF(ISBLANK(A42),"",VLOOKUP(A42,products!A:H,8,0))</f>
        <v>XS, S, M, L, XL</v>
      </c>
      <c r="K42" s="1">
        <f>IF(ISBLANK(A42),"",VLOOKUP(A42,products!A:I,9,0))</f>
        <v>45.9</v>
      </c>
      <c r="L42" s="1">
        <f>IF(ISBLANK(A42),"",VLOOKUP(A42,products!A:J,10,0))</f>
        <v>65.900000000000006</v>
      </c>
      <c r="M42" s="9">
        <v>527</v>
      </c>
      <c r="N42" s="10" t="s">
        <v>114</v>
      </c>
      <c r="O42" s="1"/>
      <c r="P42" s="10"/>
    </row>
    <row r="43" spans="1:16" x14ac:dyDescent="0.2">
      <c r="A43" s="1">
        <v>7803315</v>
      </c>
      <c r="B43" s="1">
        <v>615</v>
      </c>
      <c r="C43" s="1" t="str">
        <f>IF(ISBLANK(A43),"",VLOOKUP(A43,products!A:G,7,0))</f>
        <v>Swimwear</v>
      </c>
      <c r="D43" s="1" t="str">
        <f t="shared" si="0"/>
        <v>Orange</v>
      </c>
      <c r="E43" s="1" t="str">
        <f t="shared" si="1"/>
        <v>7803315-615</v>
      </c>
      <c r="F43" s="1" t="str">
        <f>IF(ISBLANK(A43),"",CONCATENATE(VLOOKUP(A43,products!A:C,3,0)," ",LOWER(D43)))</f>
        <v>Striped triangle bikini top orange</v>
      </c>
      <c r="G43" s="1" t="str">
        <f>IF(ISBLANK(A43),"",CONCATENATE("&lt;ul&gt;&lt;li&gt;Model size:  ",VLOOKUP(A43,products!A:E,5,0),"&lt;/li&gt;&lt;li&gt;Model height:  ",VLOOKUP(A43,products!A:F,6,0)," cm&lt;/li&gt;&lt;li&gt;Colour:  ",D43,"&lt;/li&gt;&lt;li&gt;",VLOOKUP(A43,products!A:D,4,0),"&lt;/li&gt;&lt;/ul&gt;"))</f>
        <v>&lt;ul&gt;&lt;li&gt;Model size:  S&lt;/li&gt;&lt;li&gt;Model height:  175 cm&lt;/li&gt;&lt;li&gt;Colour:  Orange&lt;/li&gt;&lt;li&gt;Bikini top with a stripe print, thin straps and straps at the back that tie into knots. Made of stretch fabric.&lt;/li&gt;&lt;/ul&gt;</v>
      </c>
      <c r="H43" s="1" t="str">
        <f t="shared" si="2"/>
        <v>Swimwear &gt; Bikini, Swimwear</v>
      </c>
      <c r="I43" s="1" t="str">
        <f t="shared" si="3"/>
        <v>https://host.zackha.com/images-nuxtcommerce/7803315-615-1.jpg, https://host.zackha.com/images-nuxtcommerce/7803315-615-2.jpg, https://host.zackha.com/images-nuxtcommerce/7803315-615-3.jpg, https://host.zackha.com/images-nuxtcommerce/7803315-615-4.jpg, https://host.zackha.com/images-nuxtcommerce/7803315-615-5.jpg, https://host.zackha.com/images-nuxtcommerce/7803315-615-6.jpg</v>
      </c>
      <c r="J43" s="1" t="str">
        <f>IF(ISBLANK(A43),"",VLOOKUP(A43,products!A:H,8,0))</f>
        <v>XS, S, M, L, XL</v>
      </c>
      <c r="K43" s="1">
        <f>IF(ISBLANK(A43),"",VLOOKUP(A43,products!A:I,9,0))</f>
        <v>27.9</v>
      </c>
      <c r="L43" s="1">
        <f>IF(ISBLANK(A43),"",VLOOKUP(A43,products!A:J,10,0))</f>
        <v>35.9</v>
      </c>
      <c r="M43" s="9">
        <v>681</v>
      </c>
      <c r="N43" s="10" t="s">
        <v>48</v>
      </c>
      <c r="O43" s="1"/>
      <c r="P43" s="10"/>
    </row>
    <row r="44" spans="1:16" x14ac:dyDescent="0.2">
      <c r="A44" s="1"/>
      <c r="B44" s="1"/>
      <c r="C44" s="1" t="str">
        <f>IF(ISBLANK(A44),"",VLOOKUP(A44,products!A:G,7,0))</f>
        <v/>
      </c>
      <c r="D44" s="1" t="str">
        <f t="shared" si="0"/>
        <v/>
      </c>
      <c r="E44" s="1" t="str">
        <f t="shared" si="1"/>
        <v/>
      </c>
      <c r="F44" s="1" t="str">
        <f>IF(ISBLANK(A44),"",CONCATENATE(VLOOKUP(A44,products!A:C,3,0)," ",LOWER(D44)))</f>
        <v/>
      </c>
      <c r="G44" s="1" t="str">
        <f>IF(ISBLANK(A44),"",CONCATENATE("&lt;ul&gt;&lt;li&gt;Model size:  ",VLOOKUP(A44,products!A:E,5,0),"&lt;/li&gt;&lt;li&gt;Model height:  ",VLOOKUP(A44,products!A:F,6,0)," cm&lt;/li&gt;&lt;li&gt;Colour:  ",D44,"&lt;/li&gt;&lt;li&gt;",VLOOKUP(A44,products!A:D,4,0),"&lt;/li&gt;&lt;/ul&gt;"))</f>
        <v/>
      </c>
      <c r="H44" s="1" t="str">
        <f t="shared" si="2"/>
        <v/>
      </c>
      <c r="I44" s="1" t="str">
        <f t="shared" si="3"/>
        <v/>
      </c>
      <c r="J44" s="1" t="str">
        <f>IF(ISBLANK(A44),"",VLOOKUP(A44,products!A:H,8,0))</f>
        <v/>
      </c>
      <c r="K44" s="1" t="str">
        <f>IF(ISBLANK(A44),"",VLOOKUP(A44,products!A:I,9,0))</f>
        <v/>
      </c>
      <c r="L44" s="1" t="str">
        <f>IF(ISBLANK(A44),"",VLOOKUP(A44,products!A:J,10,0))</f>
        <v/>
      </c>
      <c r="M44" s="14">
        <v>671</v>
      </c>
      <c r="N44" s="10" t="s">
        <v>143</v>
      </c>
      <c r="O44" s="1"/>
      <c r="P44" s="10"/>
    </row>
    <row r="45" spans="1:16" x14ac:dyDescent="0.2">
      <c r="A45" s="1"/>
      <c r="B45" s="1"/>
      <c r="C45" s="1" t="str">
        <f>IF(ISBLANK(A45),"",VLOOKUP(A45,products!A:G,7,0))</f>
        <v/>
      </c>
      <c r="D45" s="1" t="str">
        <f t="shared" si="0"/>
        <v/>
      </c>
      <c r="E45" s="1" t="str">
        <f t="shared" si="1"/>
        <v/>
      </c>
      <c r="F45" s="1" t="str">
        <f>IF(ISBLANK(A45),"",CONCATENATE(VLOOKUP(A45,products!A:C,3,0)," ",LOWER(D45)))</f>
        <v/>
      </c>
      <c r="G45" s="1" t="str">
        <f>IF(ISBLANK(A45),"",CONCATENATE("&lt;ul&gt;&lt;li&gt;Model size:  ",VLOOKUP(A45,products!A:E,5,0),"&lt;/li&gt;&lt;li&gt;Model height:  ",VLOOKUP(A45,products!A:F,6,0)," cm&lt;/li&gt;&lt;li&gt;Colour:  ",D45,"&lt;/li&gt;&lt;li&gt;",VLOOKUP(A45,products!A:D,4,0),"&lt;/li&gt;&lt;/ul&gt;"))</f>
        <v/>
      </c>
      <c r="H45" s="1" t="str">
        <f t="shared" si="2"/>
        <v/>
      </c>
      <c r="I45" s="1" t="str">
        <f t="shared" si="3"/>
        <v/>
      </c>
      <c r="J45" s="1" t="str">
        <f>IF(ISBLANK(A45),"",VLOOKUP(A45,products!A:H,8,0))</f>
        <v/>
      </c>
      <c r="K45" s="1" t="str">
        <f>IF(ISBLANK(A45),"",VLOOKUP(A45,products!A:I,9,0))</f>
        <v/>
      </c>
      <c r="L45" s="1" t="str">
        <f>IF(ISBLANK(A45),"",VLOOKUP(A45,products!A:J,10,0))</f>
        <v/>
      </c>
      <c r="M45" s="9">
        <v>120</v>
      </c>
      <c r="N45" s="10" t="s">
        <v>144</v>
      </c>
      <c r="O45" s="1"/>
      <c r="P45" s="10"/>
    </row>
    <row r="46" spans="1:16" x14ac:dyDescent="0.2">
      <c r="A46" s="1"/>
      <c r="B46" s="1"/>
      <c r="C46" s="1" t="str">
        <f>IF(ISBLANK(A46),"",VLOOKUP(A46,products!A:G,7,0))</f>
        <v/>
      </c>
      <c r="D46" s="1" t="str">
        <f t="shared" si="0"/>
        <v/>
      </c>
      <c r="E46" s="1" t="str">
        <f t="shared" si="1"/>
        <v/>
      </c>
      <c r="F46" s="1" t="str">
        <f>IF(ISBLANK(A46),"",CONCATENATE(VLOOKUP(A46,products!A:C,3,0)," ",LOWER(D46)))</f>
        <v/>
      </c>
      <c r="G46" s="1" t="str">
        <f>IF(ISBLANK(A46),"",CONCATENATE("&lt;ul&gt;&lt;li&gt;Model size:  ",VLOOKUP(A46,products!A:E,5,0),"&lt;/li&gt;&lt;li&gt;Model height:  ",VLOOKUP(A46,products!A:F,6,0)," cm&lt;/li&gt;&lt;li&gt;Colour:  ",D46,"&lt;/li&gt;&lt;li&gt;",VLOOKUP(A46,products!A:D,4,0),"&lt;/li&gt;&lt;/ul&gt;"))</f>
        <v/>
      </c>
      <c r="H46" s="1" t="str">
        <f t="shared" si="2"/>
        <v/>
      </c>
      <c r="I46" s="1" t="str">
        <f t="shared" si="3"/>
        <v/>
      </c>
      <c r="J46" s="1" t="str">
        <f>IF(ISBLANK(A46),"",VLOOKUP(A46,products!A:H,8,0))</f>
        <v/>
      </c>
      <c r="K46" s="1" t="str">
        <f>IF(ISBLANK(A46),"",VLOOKUP(A46,products!A:I,9,0))</f>
        <v/>
      </c>
      <c r="L46" s="1" t="str">
        <f>IF(ISBLANK(A46),"",VLOOKUP(A46,products!A:J,10,0))</f>
        <v/>
      </c>
      <c r="M46" s="9">
        <v>115</v>
      </c>
      <c r="N46" s="10" t="s">
        <v>146</v>
      </c>
      <c r="O46" s="1"/>
      <c r="P46" s="10"/>
    </row>
    <row r="47" spans="1:16" x14ac:dyDescent="0.2">
      <c r="A47" s="1"/>
      <c r="B47" s="1"/>
      <c r="C47" s="1" t="str">
        <f>IF(ISBLANK(A47),"",VLOOKUP(A47,products!A:G,7,0))</f>
        <v/>
      </c>
      <c r="D47" s="1" t="str">
        <f t="shared" si="0"/>
        <v/>
      </c>
      <c r="E47" s="1" t="str">
        <f t="shared" si="1"/>
        <v/>
      </c>
      <c r="F47" s="1" t="str">
        <f>IF(ISBLANK(A47),"",CONCATENATE(VLOOKUP(A47,products!A:C,3,0)," ",LOWER(D47)))</f>
        <v/>
      </c>
      <c r="G47" s="1" t="str">
        <f>IF(ISBLANK(A47),"",CONCATENATE("&lt;ul&gt;&lt;li&gt;Model size:  ",VLOOKUP(A47,products!A:E,5,0),"&lt;/li&gt;&lt;li&gt;Model height:  ",VLOOKUP(A47,products!A:F,6,0)," cm&lt;/li&gt;&lt;li&gt;Colour:  ",D47,"&lt;/li&gt;&lt;li&gt;",VLOOKUP(A47,products!A:D,4,0),"&lt;/li&gt;&lt;/ul&gt;"))</f>
        <v/>
      </c>
      <c r="H47" s="1" t="str">
        <f t="shared" si="2"/>
        <v/>
      </c>
      <c r="I47" s="1" t="str">
        <f t="shared" si="3"/>
        <v/>
      </c>
      <c r="J47" s="1" t="str">
        <f>IF(ISBLANK(A47),"",VLOOKUP(A47,products!A:H,8,0))</f>
        <v/>
      </c>
      <c r="K47" s="1" t="str">
        <f>IF(ISBLANK(A47),"",VLOOKUP(A47,products!A:I,9,0))</f>
        <v/>
      </c>
      <c r="L47" s="1" t="str">
        <f>IF(ISBLANK(A47),"",VLOOKUP(A47,products!A:J,10,0))</f>
        <v/>
      </c>
      <c r="M47" s="9">
        <v>423</v>
      </c>
      <c r="N47" s="10" t="s">
        <v>147</v>
      </c>
      <c r="O47" s="1"/>
      <c r="P47" s="10"/>
    </row>
    <row r="48" spans="1:16" x14ac:dyDescent="0.2">
      <c r="A48" s="1"/>
      <c r="B48" s="1"/>
      <c r="C48" s="1" t="str">
        <f>IF(ISBLANK(A48),"",VLOOKUP(A48,products!A:G,7,0))</f>
        <v/>
      </c>
      <c r="D48" s="1" t="str">
        <f t="shared" si="0"/>
        <v/>
      </c>
      <c r="E48" s="1" t="str">
        <f t="shared" si="1"/>
        <v/>
      </c>
      <c r="F48" s="1" t="str">
        <f>IF(ISBLANK(A48),"",CONCATENATE(VLOOKUP(A48,products!A:C,3,0)," ",LOWER(D48)))</f>
        <v/>
      </c>
      <c r="G48" s="1" t="str">
        <f>IF(ISBLANK(A48),"",CONCATENATE("&lt;ul&gt;&lt;li&gt;Model size:  ",VLOOKUP(A48,products!A:E,5,0),"&lt;/li&gt;&lt;li&gt;Model height:  ",VLOOKUP(A48,products!A:F,6,0)," cm&lt;/li&gt;&lt;li&gt;Colour:  ",D48,"&lt;/li&gt;&lt;li&gt;",VLOOKUP(A48,products!A:D,4,0),"&lt;/li&gt;&lt;/ul&gt;"))</f>
        <v/>
      </c>
      <c r="H48" s="1" t="str">
        <f t="shared" si="2"/>
        <v/>
      </c>
      <c r="I48" s="1" t="str">
        <f t="shared" si="3"/>
        <v/>
      </c>
      <c r="J48" s="1" t="str">
        <f>IF(ISBLANK(A48),"",VLOOKUP(A48,products!A:H,8,0))</f>
        <v/>
      </c>
      <c r="K48" s="1" t="str">
        <f>IF(ISBLANK(A48),"",VLOOKUP(A48,products!A:I,9,0))</f>
        <v/>
      </c>
      <c r="L48" s="1" t="str">
        <f>IF(ISBLANK(A48),"",VLOOKUP(A48,products!A:J,10,0))</f>
        <v/>
      </c>
      <c r="M48" s="9">
        <v>306</v>
      </c>
      <c r="N48" s="10" t="s">
        <v>148</v>
      </c>
      <c r="O48" s="1"/>
      <c r="P48" s="10"/>
    </row>
    <row r="49" spans="1:16" x14ac:dyDescent="0.2">
      <c r="A49" s="1"/>
      <c r="B49" s="1"/>
      <c r="C49" s="1" t="str">
        <f>IF(ISBLANK(A49),"",VLOOKUP(A49,products!A:G,7,0))</f>
        <v/>
      </c>
      <c r="D49" s="1" t="str">
        <f t="shared" si="0"/>
        <v/>
      </c>
      <c r="E49" s="1" t="str">
        <f t="shared" si="1"/>
        <v/>
      </c>
      <c r="F49" s="1" t="str">
        <f>IF(ISBLANK(A49),"",CONCATENATE(VLOOKUP(A49,products!A:C,3,0)," ",LOWER(D49)))</f>
        <v/>
      </c>
      <c r="G49" s="1" t="str">
        <f>IF(ISBLANK(A49),"",CONCATENATE("&lt;ul&gt;&lt;li&gt;Model size:  ",VLOOKUP(A49,products!A:E,5,0),"&lt;/li&gt;&lt;li&gt;Model height:  ",VLOOKUP(A49,products!A:F,6,0)," cm&lt;/li&gt;&lt;li&gt;Colour:  ",D49,"&lt;/li&gt;&lt;li&gt;",VLOOKUP(A49,products!A:D,4,0),"&lt;/li&gt;&lt;/ul&gt;"))</f>
        <v/>
      </c>
      <c r="H49" s="1" t="str">
        <f t="shared" si="2"/>
        <v/>
      </c>
      <c r="I49" s="1" t="str">
        <f t="shared" si="3"/>
        <v/>
      </c>
      <c r="J49" s="1" t="str">
        <f>IF(ISBLANK(A49),"",VLOOKUP(A49,products!A:H,8,0))</f>
        <v/>
      </c>
      <c r="K49" s="1" t="str">
        <f>IF(ISBLANK(A49),"",VLOOKUP(A49,products!A:I,9,0))</f>
        <v/>
      </c>
      <c r="L49" s="1" t="str">
        <f>IF(ISBLANK(A49),"",VLOOKUP(A49,products!A:J,10,0))</f>
        <v/>
      </c>
      <c r="M49" s="9">
        <v>420</v>
      </c>
      <c r="N49" s="10" t="s">
        <v>149</v>
      </c>
      <c r="O49" s="1"/>
      <c r="P49" s="10"/>
    </row>
    <row r="50" spans="1:16" x14ac:dyDescent="0.2">
      <c r="A50" s="1"/>
      <c r="B50" s="1"/>
      <c r="C50" s="1" t="str">
        <f>IF(ISBLANK(A50),"",VLOOKUP(A50,products!A:G,7,0))</f>
        <v/>
      </c>
      <c r="D50" s="1" t="str">
        <f t="shared" si="0"/>
        <v/>
      </c>
      <c r="E50" s="1" t="str">
        <f t="shared" si="1"/>
        <v/>
      </c>
      <c r="F50" s="1" t="str">
        <f>IF(ISBLANK(A50),"",CONCATENATE(VLOOKUP(A50,products!A:C,3,0)," ",LOWER(D50)))</f>
        <v/>
      </c>
      <c r="G50" s="1" t="str">
        <f>IF(ISBLANK(A50),"",CONCATENATE("&lt;ul&gt;&lt;li&gt;Model size:  ",VLOOKUP(A50,products!A:E,5,0),"&lt;/li&gt;&lt;li&gt;Model height:  ",VLOOKUP(A50,products!A:F,6,0)," cm&lt;/li&gt;&lt;li&gt;Colour:  ",D50,"&lt;/li&gt;&lt;li&gt;",VLOOKUP(A50,products!A:D,4,0),"&lt;/li&gt;&lt;/ul&gt;"))</f>
        <v/>
      </c>
      <c r="H50" s="1" t="str">
        <f t="shared" si="2"/>
        <v/>
      </c>
      <c r="I50" s="1" t="str">
        <f t="shared" si="3"/>
        <v/>
      </c>
      <c r="J50" s="1" t="str">
        <f>IF(ISBLANK(A50),"",VLOOKUP(A50,products!A:H,8,0))</f>
        <v/>
      </c>
      <c r="K50" s="1" t="str">
        <f>IF(ISBLANK(A50),"",VLOOKUP(A50,products!A:I,9,0))</f>
        <v/>
      </c>
      <c r="L50" s="1" t="str">
        <f>IF(ISBLANK(A50),"",VLOOKUP(A50,products!A:J,10,0))</f>
        <v/>
      </c>
      <c r="M50" s="9">
        <v>615</v>
      </c>
      <c r="N50" s="10" t="s">
        <v>150</v>
      </c>
      <c r="O50" s="1"/>
      <c r="P50" s="10"/>
    </row>
    <row r="51" spans="1:16" x14ac:dyDescent="0.2">
      <c r="A51" s="1"/>
      <c r="B51" s="1"/>
      <c r="C51" s="1" t="str">
        <f>IF(ISBLANK(A51),"",VLOOKUP(A51,products!A:G,7,0))</f>
        <v/>
      </c>
      <c r="D51" s="1" t="str">
        <f t="shared" si="0"/>
        <v/>
      </c>
      <c r="E51" s="1" t="str">
        <f t="shared" si="1"/>
        <v/>
      </c>
      <c r="F51" s="1" t="str">
        <f>IF(ISBLANK(A51),"",CONCATENATE(VLOOKUP(A51,products!A:C,3,0)," ",LOWER(D51)))</f>
        <v/>
      </c>
      <c r="G51" s="1" t="str">
        <f>IF(ISBLANK(A51),"",CONCATENATE("&lt;ul&gt;&lt;li&gt;Model size:  ",VLOOKUP(A51,products!A:E,5,0),"&lt;/li&gt;&lt;li&gt;Model height:  ",VLOOKUP(A51,products!A:F,6,0)," cm&lt;/li&gt;&lt;li&gt;Colour:  ",D51,"&lt;/li&gt;&lt;li&gt;",VLOOKUP(A51,products!A:D,4,0),"&lt;/li&gt;&lt;/ul&gt;"))</f>
        <v/>
      </c>
      <c r="H51" s="1" t="str">
        <f t="shared" si="2"/>
        <v/>
      </c>
      <c r="I51" s="1" t="str">
        <f t="shared" si="3"/>
        <v/>
      </c>
      <c r="J51" s="1" t="str">
        <f>IF(ISBLANK(A51),"",VLOOKUP(A51,products!A:H,8,0))</f>
        <v/>
      </c>
      <c r="K51" s="1" t="str">
        <f>IF(ISBLANK(A51),"",VLOOKUP(A51,products!A:I,9,0))</f>
        <v/>
      </c>
      <c r="L51" s="1" t="str">
        <f>IF(ISBLANK(A51),"",VLOOKUP(A51,products!A:J,10,0))</f>
        <v/>
      </c>
      <c r="M51" s="9"/>
      <c r="N51" s="10"/>
      <c r="O51" s="1"/>
      <c r="P51" s="10"/>
    </row>
    <row r="52" spans="1:16" x14ac:dyDescent="0.2">
      <c r="A52" s="1"/>
      <c r="B52" s="1"/>
      <c r="C52" s="1" t="str">
        <f>IF(ISBLANK(A52),"",VLOOKUP(A52,products!A:G,7,0))</f>
        <v/>
      </c>
      <c r="D52" s="1" t="str">
        <f t="shared" si="0"/>
        <v/>
      </c>
      <c r="E52" s="1" t="str">
        <f t="shared" si="1"/>
        <v/>
      </c>
      <c r="F52" s="1" t="str">
        <f>IF(ISBLANK(A52),"",CONCATENATE(VLOOKUP(A52,products!A:C,3,0)," ",LOWER(D52)))</f>
        <v/>
      </c>
      <c r="G52" s="1" t="str">
        <f>IF(ISBLANK(A52),"",CONCATENATE("&lt;ul&gt;&lt;li&gt;Model size:  ",VLOOKUP(A52,products!A:E,5,0),"&lt;/li&gt;&lt;li&gt;Model height:  ",VLOOKUP(A52,products!A:F,6,0)," cm&lt;/li&gt;&lt;li&gt;Colour:  ",D52,"&lt;/li&gt;&lt;li&gt;",VLOOKUP(A52,products!A:D,4,0),"&lt;/li&gt;&lt;/ul&gt;"))</f>
        <v/>
      </c>
      <c r="H52" s="1" t="str">
        <f t="shared" si="2"/>
        <v/>
      </c>
      <c r="I52" s="1" t="str">
        <f t="shared" si="3"/>
        <v/>
      </c>
      <c r="J52" s="1" t="str">
        <f>IF(ISBLANK(A52),"",VLOOKUP(A52,products!A:H,8,0))</f>
        <v/>
      </c>
      <c r="K52" s="1" t="str">
        <f>IF(ISBLANK(A52),"",VLOOKUP(A52,products!A:I,9,0))</f>
        <v/>
      </c>
      <c r="L52" s="1" t="str">
        <f>IF(ISBLANK(A52),"",VLOOKUP(A52,products!A:J,10,0))</f>
        <v/>
      </c>
      <c r="M52" s="9"/>
      <c r="N52" s="10"/>
      <c r="O52" s="1"/>
      <c r="P52" s="10"/>
    </row>
    <row r="53" spans="1:16" x14ac:dyDescent="0.2">
      <c r="A53" s="1"/>
      <c r="B53" s="1"/>
      <c r="C53" s="1" t="str">
        <f>IF(ISBLANK(A53),"",VLOOKUP(A53,products!A:G,7,0))</f>
        <v/>
      </c>
      <c r="D53" s="1" t="str">
        <f t="shared" si="0"/>
        <v/>
      </c>
      <c r="E53" s="1" t="str">
        <f t="shared" si="1"/>
        <v/>
      </c>
      <c r="F53" s="1" t="str">
        <f>IF(ISBLANK(A53),"",CONCATENATE(VLOOKUP(A53,products!A:C,3,0)," ",LOWER(D53)))</f>
        <v/>
      </c>
      <c r="G53" s="1" t="str">
        <f>IF(ISBLANK(A53),"",CONCATENATE("&lt;ul&gt;&lt;li&gt;Model size:  ",VLOOKUP(A53,products!A:E,5,0),"&lt;/li&gt;&lt;li&gt;Model height:  ",VLOOKUP(A53,products!A:F,6,0)," cm&lt;/li&gt;&lt;li&gt;Colour:  ",D53,"&lt;/li&gt;&lt;li&gt;",VLOOKUP(A53,products!A:D,4,0),"&lt;/li&gt;&lt;/ul&gt;"))</f>
        <v/>
      </c>
      <c r="H53" s="1" t="str">
        <f t="shared" si="2"/>
        <v/>
      </c>
      <c r="I53" s="1" t="str">
        <f t="shared" si="3"/>
        <v/>
      </c>
      <c r="J53" s="1" t="str">
        <f>IF(ISBLANK(A53),"",VLOOKUP(A53,products!A:H,8,0))</f>
        <v/>
      </c>
      <c r="K53" s="1" t="str">
        <f>IF(ISBLANK(A53),"",VLOOKUP(A53,products!A:I,9,0))</f>
        <v/>
      </c>
      <c r="L53" s="1" t="str">
        <f>IF(ISBLANK(A53),"",VLOOKUP(A53,products!A:J,10,0))</f>
        <v/>
      </c>
      <c r="M53" s="9"/>
      <c r="N53" s="10"/>
      <c r="O53" s="1"/>
      <c r="P53" s="10"/>
    </row>
    <row r="54" spans="1:16" x14ac:dyDescent="0.2">
      <c r="A54" s="1"/>
      <c r="B54" s="1"/>
      <c r="C54" s="1" t="str">
        <f>IF(ISBLANK(A54),"",VLOOKUP(A54,products!A:G,7,0))</f>
        <v/>
      </c>
      <c r="D54" s="1" t="str">
        <f t="shared" si="0"/>
        <v/>
      </c>
      <c r="E54" s="1" t="str">
        <f t="shared" si="1"/>
        <v/>
      </c>
      <c r="F54" s="1" t="str">
        <f>IF(ISBLANK(A54),"",CONCATENATE(VLOOKUP(A54,products!A:C,3,0)," ",LOWER(D54)))</f>
        <v/>
      </c>
      <c r="G54" s="1" t="str">
        <f>IF(ISBLANK(A54),"",CONCATENATE("&lt;ul&gt;&lt;li&gt;Model size:  ",VLOOKUP(A54,products!A:E,5,0),"&lt;/li&gt;&lt;li&gt;Model height:  ",VLOOKUP(A54,products!A:F,6,0)," cm&lt;/li&gt;&lt;li&gt;Colour:  ",D54,"&lt;/li&gt;&lt;li&gt;",VLOOKUP(A54,products!A:D,4,0),"&lt;/li&gt;&lt;/ul&gt;"))</f>
        <v/>
      </c>
      <c r="H54" s="1" t="str">
        <f t="shared" si="2"/>
        <v/>
      </c>
      <c r="I54" s="1" t="str">
        <f t="shared" si="3"/>
        <v/>
      </c>
      <c r="J54" s="1" t="str">
        <f>IF(ISBLANK(A54),"",VLOOKUP(A54,products!A:H,8,0))</f>
        <v/>
      </c>
      <c r="K54" s="1" t="str">
        <f>IF(ISBLANK(A54),"",VLOOKUP(A54,products!A:I,9,0))</f>
        <v/>
      </c>
      <c r="L54" s="1" t="str">
        <f>IF(ISBLANK(A54),"",VLOOKUP(A54,products!A:J,10,0))</f>
        <v/>
      </c>
      <c r="M54" s="9"/>
      <c r="N54" s="10"/>
      <c r="O54" s="1"/>
      <c r="P54" s="10"/>
    </row>
    <row r="55" spans="1:16" x14ac:dyDescent="0.2">
      <c r="A55" s="1"/>
      <c r="B55" s="1"/>
      <c r="C55" s="1" t="str">
        <f>IF(ISBLANK(A55),"",VLOOKUP(A55,products!A:G,7,0))</f>
        <v/>
      </c>
      <c r="D55" s="1" t="str">
        <f t="shared" si="0"/>
        <v/>
      </c>
      <c r="E55" s="1" t="str">
        <f t="shared" si="1"/>
        <v/>
      </c>
      <c r="F55" s="1" t="str">
        <f>IF(ISBLANK(A55),"",CONCATENATE(VLOOKUP(A55,products!A:C,3,0)," ",LOWER(D55)))</f>
        <v/>
      </c>
      <c r="G55" s="1" t="str">
        <f>IF(ISBLANK(A55),"",CONCATENATE("&lt;ul&gt;&lt;li&gt;Model size:  ",VLOOKUP(A55,products!A:E,5,0),"&lt;/li&gt;&lt;li&gt;Model height:  ",VLOOKUP(A55,products!A:F,6,0)," cm&lt;/li&gt;&lt;li&gt;Colour:  ",D55,"&lt;/li&gt;&lt;li&gt;",VLOOKUP(A55,products!A:D,4,0),"&lt;/li&gt;&lt;/ul&gt;"))</f>
        <v/>
      </c>
      <c r="H55" s="1" t="str">
        <f t="shared" si="2"/>
        <v/>
      </c>
      <c r="I55" s="1" t="str">
        <f t="shared" si="3"/>
        <v/>
      </c>
      <c r="J55" s="1" t="str">
        <f>IF(ISBLANK(A55),"",VLOOKUP(A55,products!A:H,8,0))</f>
        <v/>
      </c>
      <c r="K55" s="1" t="str">
        <f>IF(ISBLANK(A55),"",VLOOKUP(A55,products!A:I,9,0))</f>
        <v/>
      </c>
      <c r="L55" s="1" t="str">
        <f>IF(ISBLANK(A55),"",VLOOKUP(A55,products!A:J,10,0))</f>
        <v/>
      </c>
      <c r="M55" s="9"/>
      <c r="N55" s="10"/>
      <c r="O55" s="1"/>
      <c r="P55" s="10"/>
    </row>
    <row r="56" spans="1:16" x14ac:dyDescent="0.2">
      <c r="A56" s="1"/>
      <c r="B56" s="1"/>
      <c r="C56" s="1" t="str">
        <f>IF(ISBLANK(A56),"",VLOOKUP(A56,products!A:G,7,0))</f>
        <v/>
      </c>
      <c r="D56" s="1" t="str">
        <f t="shared" si="0"/>
        <v/>
      </c>
      <c r="E56" s="1" t="str">
        <f t="shared" si="1"/>
        <v/>
      </c>
      <c r="F56" s="1" t="str">
        <f>IF(ISBLANK(A56),"",CONCATENATE(VLOOKUP(A56,products!A:C,3,0)," ",LOWER(D56)))</f>
        <v/>
      </c>
      <c r="G56" s="1" t="str">
        <f>IF(ISBLANK(A56),"",CONCATENATE("&lt;ul&gt;&lt;li&gt;Model size:  ",VLOOKUP(A56,products!A:E,5,0),"&lt;/li&gt;&lt;li&gt;Model height:  ",VLOOKUP(A56,products!A:F,6,0)," cm&lt;/li&gt;&lt;li&gt;Colour:  ",D56,"&lt;/li&gt;&lt;li&gt;",VLOOKUP(A56,products!A:D,4,0),"&lt;/li&gt;&lt;/ul&gt;"))</f>
        <v/>
      </c>
      <c r="H56" s="1" t="str">
        <f t="shared" si="2"/>
        <v/>
      </c>
      <c r="I56" s="1" t="str">
        <f t="shared" si="3"/>
        <v/>
      </c>
      <c r="J56" s="1" t="str">
        <f>IF(ISBLANK(A56),"",VLOOKUP(A56,products!A:H,8,0))</f>
        <v/>
      </c>
      <c r="K56" s="1" t="str">
        <f>IF(ISBLANK(A56),"",VLOOKUP(A56,products!A:I,9,0))</f>
        <v/>
      </c>
      <c r="L56" s="1" t="str">
        <f>IF(ISBLANK(A56),"",VLOOKUP(A56,products!A:J,10,0))</f>
        <v/>
      </c>
      <c r="M56" s="9"/>
      <c r="N56" s="10"/>
      <c r="O56" s="1"/>
      <c r="P56" s="10"/>
    </row>
    <row r="57" spans="1:16" x14ac:dyDescent="0.2">
      <c r="A57" s="1"/>
      <c r="B57" s="1"/>
      <c r="C57" s="1" t="str">
        <f>IF(ISBLANK(A57),"",VLOOKUP(A57,products!A:G,7,0))</f>
        <v/>
      </c>
      <c r="D57" s="1" t="str">
        <f t="shared" si="0"/>
        <v/>
      </c>
      <c r="E57" s="1" t="str">
        <f t="shared" si="1"/>
        <v/>
      </c>
      <c r="F57" s="1" t="str">
        <f>IF(ISBLANK(A57),"",CONCATENATE(VLOOKUP(A57,products!A:C,3,0)," ",LOWER(D57)))</f>
        <v/>
      </c>
      <c r="G57" s="1" t="str">
        <f>IF(ISBLANK(A57),"",CONCATENATE("&lt;ul&gt;&lt;li&gt;Model size:  ",VLOOKUP(A57,products!A:E,5,0),"&lt;/li&gt;&lt;li&gt;Model height:  ",VLOOKUP(A57,products!A:F,6,0)," cm&lt;/li&gt;&lt;li&gt;Colour:  ",D57,"&lt;/li&gt;&lt;li&gt;",VLOOKUP(A57,products!A:D,4,0),"&lt;/li&gt;&lt;/ul&gt;"))</f>
        <v/>
      </c>
      <c r="H57" s="1" t="str">
        <f t="shared" si="2"/>
        <v/>
      </c>
      <c r="I57" s="1" t="str">
        <f t="shared" si="3"/>
        <v/>
      </c>
      <c r="J57" s="1" t="str">
        <f>IF(ISBLANK(A57),"",VLOOKUP(A57,products!A:H,8,0))</f>
        <v/>
      </c>
      <c r="K57" s="1" t="str">
        <f>IF(ISBLANK(A57),"",VLOOKUP(A57,products!A:I,9,0))</f>
        <v/>
      </c>
      <c r="L57" s="1" t="str">
        <f>IF(ISBLANK(A57),"",VLOOKUP(A57,products!A:J,10,0))</f>
        <v/>
      </c>
      <c r="M57" s="9"/>
      <c r="N57" s="10"/>
      <c r="O57" s="1"/>
      <c r="P57" s="10"/>
    </row>
    <row r="58" spans="1:16" x14ac:dyDescent="0.2">
      <c r="A58" s="1"/>
      <c r="B58" s="1"/>
      <c r="C58" s="1" t="str">
        <f>IF(ISBLANK(A58),"",VLOOKUP(A58,products!A:G,7,0))</f>
        <v/>
      </c>
      <c r="D58" s="1" t="str">
        <f t="shared" si="0"/>
        <v/>
      </c>
      <c r="E58" s="1" t="str">
        <f t="shared" si="1"/>
        <v/>
      </c>
      <c r="F58" s="1" t="str">
        <f>IF(ISBLANK(A58),"",CONCATENATE(VLOOKUP(A58,products!A:C,3,0)," ",LOWER(D58)))</f>
        <v/>
      </c>
      <c r="G58" s="1" t="str">
        <f>IF(ISBLANK(A58),"",CONCATENATE("&lt;ul&gt;&lt;li&gt;Model size:  ",VLOOKUP(A58,products!A:E,5,0),"&lt;/li&gt;&lt;li&gt;Model height:  ",VLOOKUP(A58,products!A:F,6,0)," cm&lt;/li&gt;&lt;li&gt;Colour:  ",D58,"&lt;/li&gt;&lt;li&gt;",VLOOKUP(A58,products!A:D,4,0),"&lt;/li&gt;&lt;/ul&gt;"))</f>
        <v/>
      </c>
      <c r="H58" s="1" t="str">
        <f t="shared" si="2"/>
        <v/>
      </c>
      <c r="I58" s="1" t="str">
        <f t="shared" si="3"/>
        <v/>
      </c>
      <c r="J58" s="1" t="str">
        <f>IF(ISBLANK(A58),"",VLOOKUP(A58,products!A:H,8,0))</f>
        <v/>
      </c>
      <c r="K58" s="1" t="str">
        <f>IF(ISBLANK(A58),"",VLOOKUP(A58,products!A:I,9,0))</f>
        <v/>
      </c>
      <c r="L58" s="1" t="str">
        <f>IF(ISBLANK(A58),"",VLOOKUP(A58,products!A:J,10,0))</f>
        <v/>
      </c>
      <c r="M58" s="9"/>
      <c r="N58" s="10"/>
      <c r="O58" s="1"/>
      <c r="P58" s="10"/>
    </row>
    <row r="59" spans="1:16" x14ac:dyDescent="0.2">
      <c r="A59" s="1"/>
      <c r="B59" s="1"/>
      <c r="C59" s="1" t="str">
        <f>IF(ISBLANK(A59),"",VLOOKUP(A59,products!A:G,7,0))</f>
        <v/>
      </c>
      <c r="D59" s="1" t="str">
        <f t="shared" si="0"/>
        <v/>
      </c>
      <c r="E59" s="1" t="str">
        <f t="shared" si="1"/>
        <v/>
      </c>
      <c r="F59" s="1" t="str">
        <f>IF(ISBLANK(A59),"",CONCATENATE(VLOOKUP(A59,products!A:C,3,0)," ",LOWER(D59)))</f>
        <v/>
      </c>
      <c r="G59" s="1" t="str">
        <f>IF(ISBLANK(A59),"",CONCATENATE("&lt;ul&gt;&lt;li&gt;Model size:  ",VLOOKUP(A59,products!A:E,5,0),"&lt;/li&gt;&lt;li&gt;Model height:  ",VLOOKUP(A59,products!A:F,6,0)," cm&lt;/li&gt;&lt;li&gt;Colour:  ",D59,"&lt;/li&gt;&lt;li&gt;",VLOOKUP(A59,products!A:D,4,0),"&lt;/li&gt;&lt;/ul&gt;"))</f>
        <v/>
      </c>
      <c r="H59" s="1" t="str">
        <f t="shared" si="2"/>
        <v/>
      </c>
      <c r="I59" s="1" t="str">
        <f t="shared" si="3"/>
        <v/>
      </c>
      <c r="J59" s="1" t="str">
        <f>IF(ISBLANK(A59),"",VLOOKUP(A59,products!A:H,8,0))</f>
        <v/>
      </c>
      <c r="K59" s="1" t="str">
        <f>IF(ISBLANK(A59),"",VLOOKUP(A59,products!A:I,9,0))</f>
        <v/>
      </c>
      <c r="L59" s="1" t="str">
        <f>IF(ISBLANK(A59),"",VLOOKUP(A59,products!A:J,10,0))</f>
        <v/>
      </c>
      <c r="M59" s="9"/>
      <c r="N59" s="10"/>
      <c r="O59" s="1"/>
      <c r="P59" s="10"/>
    </row>
    <row r="60" spans="1:16" x14ac:dyDescent="0.2">
      <c r="A60" s="1"/>
      <c r="B60" s="1"/>
      <c r="C60" s="1" t="str">
        <f>IF(ISBLANK(A60),"",VLOOKUP(A60,products!A:G,7,0))</f>
        <v/>
      </c>
      <c r="D60" s="1" t="str">
        <f t="shared" si="0"/>
        <v/>
      </c>
      <c r="E60" s="1" t="str">
        <f t="shared" si="1"/>
        <v/>
      </c>
      <c r="F60" s="1" t="str">
        <f>IF(ISBLANK(A60),"",CONCATENATE(VLOOKUP(A60,products!A:C,3,0)," ",LOWER(D60)))</f>
        <v/>
      </c>
      <c r="G60" s="1" t="str">
        <f>IF(ISBLANK(A60),"",CONCATENATE("&lt;ul&gt;&lt;li&gt;Model size:  ",VLOOKUP(A60,products!A:E,5,0),"&lt;/li&gt;&lt;li&gt;Model height:  ",VLOOKUP(A60,products!A:F,6,0)," cm&lt;/li&gt;&lt;li&gt;Colour:  ",D60,"&lt;/li&gt;&lt;li&gt;",VLOOKUP(A60,products!A:D,4,0),"&lt;/li&gt;&lt;/ul&gt;"))</f>
        <v/>
      </c>
      <c r="H60" s="1" t="str">
        <f t="shared" si="2"/>
        <v/>
      </c>
      <c r="I60" s="1" t="str">
        <f t="shared" si="3"/>
        <v/>
      </c>
      <c r="J60" s="1" t="str">
        <f>IF(ISBLANK(A60),"",VLOOKUP(A60,products!A:H,8,0))</f>
        <v/>
      </c>
      <c r="K60" s="1" t="str">
        <f>IF(ISBLANK(A60),"",VLOOKUP(A60,products!A:I,9,0))</f>
        <v/>
      </c>
      <c r="L60" s="1" t="str">
        <f>IF(ISBLANK(A60),"",VLOOKUP(A60,products!A:J,10,0))</f>
        <v/>
      </c>
      <c r="M60" s="9"/>
      <c r="N60" s="10"/>
      <c r="O60" s="1"/>
      <c r="P60" s="10"/>
    </row>
    <row r="61" spans="1:16" x14ac:dyDescent="0.2">
      <c r="A61" s="1"/>
      <c r="B61" s="1"/>
      <c r="C61" s="1" t="str">
        <f>IF(ISBLANK(A61),"",VLOOKUP(A61,products!A:G,7,0))</f>
        <v/>
      </c>
      <c r="D61" s="1" t="str">
        <f t="shared" si="0"/>
        <v/>
      </c>
      <c r="E61" s="1" t="str">
        <f t="shared" si="1"/>
        <v/>
      </c>
      <c r="F61" s="1" t="str">
        <f>IF(ISBLANK(A61),"",CONCATENATE(VLOOKUP(A61,products!A:C,3,0)," ",LOWER(D61)))</f>
        <v/>
      </c>
      <c r="G61" s="1" t="str">
        <f>IF(ISBLANK(A61),"",CONCATENATE("&lt;ul&gt;&lt;li&gt;Model size:  ",VLOOKUP(A61,products!A:E,5,0),"&lt;/li&gt;&lt;li&gt;Model height:  ",VLOOKUP(A61,products!A:F,6,0)," cm&lt;/li&gt;&lt;li&gt;Colour:  ",D61,"&lt;/li&gt;&lt;li&gt;",VLOOKUP(A61,products!A:D,4,0),"&lt;/li&gt;&lt;/ul&gt;"))</f>
        <v/>
      </c>
      <c r="H61" s="1" t="str">
        <f t="shared" si="2"/>
        <v/>
      </c>
      <c r="I61" s="1" t="str">
        <f t="shared" si="3"/>
        <v/>
      </c>
      <c r="J61" s="1" t="str">
        <f>IF(ISBLANK(A61),"",VLOOKUP(A61,products!A:H,8,0))</f>
        <v/>
      </c>
      <c r="K61" s="1" t="str">
        <f>IF(ISBLANK(A61),"",VLOOKUP(A61,products!A:I,9,0))</f>
        <v/>
      </c>
      <c r="L61" s="1" t="str">
        <f>IF(ISBLANK(A61),"",VLOOKUP(A61,products!A:J,10,0))</f>
        <v/>
      </c>
      <c r="M61" s="9"/>
      <c r="N61" s="10"/>
      <c r="O61" s="1"/>
      <c r="P61" s="10"/>
    </row>
    <row r="62" spans="1:16" x14ac:dyDescent="0.2">
      <c r="A62" s="1"/>
      <c r="B62" s="1"/>
      <c r="C62" s="1" t="str">
        <f>IF(ISBLANK(A62),"",VLOOKUP(A62,products!A:G,7,0))</f>
        <v/>
      </c>
      <c r="D62" s="1" t="str">
        <f t="shared" si="0"/>
        <v/>
      </c>
      <c r="E62" s="1" t="str">
        <f t="shared" si="1"/>
        <v/>
      </c>
      <c r="F62" s="1" t="str">
        <f>IF(ISBLANK(A62),"",CONCATENATE(VLOOKUP(A62,products!A:C,3,0)," ",LOWER(D62)))</f>
        <v/>
      </c>
      <c r="G62" s="1" t="str">
        <f>IF(ISBLANK(A62),"",CONCATENATE("&lt;ul&gt;&lt;li&gt;Model size:  ",VLOOKUP(A62,products!A:E,5,0),"&lt;/li&gt;&lt;li&gt;Model height:  ",VLOOKUP(A62,products!A:F,6,0)," cm&lt;/li&gt;&lt;li&gt;Colour:  ",D62,"&lt;/li&gt;&lt;li&gt;",VLOOKUP(A62,products!A:D,4,0),"&lt;/li&gt;&lt;/ul&gt;"))</f>
        <v/>
      </c>
      <c r="H62" s="1" t="str">
        <f t="shared" si="2"/>
        <v/>
      </c>
      <c r="I62" s="1" t="str">
        <f t="shared" si="3"/>
        <v/>
      </c>
      <c r="J62" s="1" t="str">
        <f>IF(ISBLANK(A62),"",VLOOKUP(A62,products!A:H,8,0))</f>
        <v/>
      </c>
      <c r="K62" s="1" t="str">
        <f>IF(ISBLANK(A62),"",VLOOKUP(A62,products!A:I,9,0))</f>
        <v/>
      </c>
      <c r="L62" s="1" t="str">
        <f>IF(ISBLANK(A62),"",VLOOKUP(A62,products!A:J,10,0))</f>
        <v/>
      </c>
      <c r="M62" s="9"/>
      <c r="N62" s="10"/>
      <c r="O62" s="1"/>
      <c r="P62" s="10"/>
    </row>
    <row r="63" spans="1:16" x14ac:dyDescent="0.2">
      <c r="A63" s="1"/>
      <c r="B63" s="1"/>
      <c r="C63" s="1" t="str">
        <f>IF(ISBLANK(A63),"",VLOOKUP(A63,products!A:G,7,0))</f>
        <v/>
      </c>
      <c r="D63" s="1" t="str">
        <f t="shared" si="0"/>
        <v/>
      </c>
      <c r="E63" s="1" t="str">
        <f t="shared" si="1"/>
        <v/>
      </c>
      <c r="F63" s="1" t="str">
        <f>IF(ISBLANK(A63),"",CONCATENATE(VLOOKUP(A63,products!A:C,3,0)," ",LOWER(D63)))</f>
        <v/>
      </c>
      <c r="G63" s="1" t="str">
        <f>IF(ISBLANK(A63),"",CONCATENATE("&lt;ul&gt;&lt;li&gt;Model size:  ",VLOOKUP(A63,products!A:E,5,0),"&lt;/li&gt;&lt;li&gt;Model height:  ",VLOOKUP(A63,products!A:F,6,0)," cm&lt;/li&gt;&lt;li&gt;Colour:  ",D63,"&lt;/li&gt;&lt;li&gt;",VLOOKUP(A63,products!A:D,4,0),"&lt;/li&gt;&lt;/ul&gt;"))</f>
        <v/>
      </c>
      <c r="H63" s="1" t="str">
        <f t="shared" si="2"/>
        <v/>
      </c>
      <c r="I63" s="1" t="str">
        <f t="shared" si="3"/>
        <v/>
      </c>
      <c r="J63" s="1" t="str">
        <f>IF(ISBLANK(A63),"",VLOOKUP(A63,products!A:H,8,0))</f>
        <v/>
      </c>
      <c r="K63" s="1" t="str">
        <f>IF(ISBLANK(A63),"",VLOOKUP(A63,products!A:I,9,0))</f>
        <v/>
      </c>
      <c r="L63" s="1" t="str">
        <f>IF(ISBLANK(A63),"",VLOOKUP(A63,products!A:J,10,0))</f>
        <v/>
      </c>
      <c r="M63" s="9"/>
      <c r="N63" s="10"/>
      <c r="O63" s="1"/>
      <c r="P63" s="10"/>
    </row>
    <row r="64" spans="1:16" x14ac:dyDescent="0.2">
      <c r="A64" s="1"/>
      <c r="B64" s="1"/>
      <c r="C64" s="1" t="str">
        <f>IF(ISBLANK(A64),"",VLOOKUP(A64,products!A:G,7,0))</f>
        <v/>
      </c>
      <c r="D64" s="1" t="str">
        <f t="shared" si="0"/>
        <v/>
      </c>
      <c r="E64" s="1" t="str">
        <f t="shared" si="1"/>
        <v/>
      </c>
      <c r="F64" s="1" t="str">
        <f>IF(ISBLANK(A64),"",CONCATENATE(VLOOKUP(A64,products!A:C,3,0)," ",LOWER(D64)))</f>
        <v/>
      </c>
      <c r="G64" s="1" t="str">
        <f>IF(ISBLANK(A64),"",CONCATENATE("&lt;ul&gt;&lt;li&gt;Model size:  ",VLOOKUP(A64,products!A:E,5,0),"&lt;/li&gt;&lt;li&gt;Model height:  ",VLOOKUP(A64,products!A:F,6,0)," cm&lt;/li&gt;&lt;li&gt;Colour:  ",D64,"&lt;/li&gt;&lt;li&gt;",VLOOKUP(A64,products!A:D,4,0),"&lt;/li&gt;&lt;/ul&gt;"))</f>
        <v/>
      </c>
      <c r="H64" s="1" t="str">
        <f t="shared" si="2"/>
        <v/>
      </c>
      <c r="I64" s="1" t="str">
        <f t="shared" si="3"/>
        <v/>
      </c>
      <c r="J64" s="1" t="str">
        <f>IF(ISBLANK(A64),"",VLOOKUP(A64,products!A:H,8,0))</f>
        <v/>
      </c>
      <c r="K64" s="1" t="str">
        <f>IF(ISBLANK(A64),"",VLOOKUP(A64,products!A:I,9,0))</f>
        <v/>
      </c>
      <c r="L64" s="1" t="str">
        <f>IF(ISBLANK(A64),"",VLOOKUP(A64,products!A:J,10,0))</f>
        <v/>
      </c>
      <c r="M64" s="9"/>
      <c r="N64" s="10"/>
      <c r="O64" s="1"/>
      <c r="P64" s="10"/>
    </row>
    <row r="65" spans="1:16" x14ac:dyDescent="0.2">
      <c r="A65" s="1"/>
      <c r="B65" s="1"/>
      <c r="C65" s="1" t="str">
        <f>IF(ISBLANK(A65),"",VLOOKUP(A65,products!A:G,7,0))</f>
        <v/>
      </c>
      <c r="D65" s="1" t="str">
        <f t="shared" si="0"/>
        <v/>
      </c>
      <c r="E65" s="1" t="str">
        <f t="shared" si="1"/>
        <v/>
      </c>
      <c r="F65" s="1" t="str">
        <f>IF(ISBLANK(A65),"",CONCATENATE(VLOOKUP(A65,products!A:C,3,0)," ",LOWER(D65)))</f>
        <v/>
      </c>
      <c r="G65" s="1" t="str">
        <f>IF(ISBLANK(A65),"",CONCATENATE("&lt;ul&gt;&lt;li&gt;Model size:  ",VLOOKUP(A65,products!A:E,5,0),"&lt;/li&gt;&lt;li&gt;Model height:  ",VLOOKUP(A65,products!A:F,6,0)," cm&lt;/li&gt;&lt;li&gt;Colour:  ",D65,"&lt;/li&gt;&lt;li&gt;",VLOOKUP(A65,products!A:D,4,0),"&lt;/li&gt;&lt;/ul&gt;"))</f>
        <v/>
      </c>
      <c r="H65" s="1" t="str">
        <f t="shared" si="2"/>
        <v/>
      </c>
      <c r="I65" s="1" t="str">
        <f t="shared" si="3"/>
        <v/>
      </c>
      <c r="J65" s="1" t="str">
        <f>IF(ISBLANK(A65),"",VLOOKUP(A65,products!A:H,8,0))</f>
        <v/>
      </c>
      <c r="K65" s="1" t="str">
        <f>IF(ISBLANK(A65),"",VLOOKUP(A65,products!A:I,9,0))</f>
        <v/>
      </c>
      <c r="L65" s="1" t="str">
        <f>IF(ISBLANK(A65),"",VLOOKUP(A65,products!A:J,10,0))</f>
        <v/>
      </c>
      <c r="M65" s="9"/>
      <c r="N65" s="10"/>
      <c r="O65" s="1"/>
      <c r="P65" s="10"/>
    </row>
    <row r="66" spans="1:16" x14ac:dyDescent="0.2">
      <c r="A66" s="1"/>
      <c r="B66" s="1"/>
      <c r="C66" s="1" t="str">
        <f>IF(ISBLANK(A66),"",VLOOKUP(A66,products!A:G,7,0))</f>
        <v/>
      </c>
      <c r="D66" s="1" t="str">
        <f t="shared" si="0"/>
        <v/>
      </c>
      <c r="E66" s="1" t="str">
        <f t="shared" si="1"/>
        <v/>
      </c>
      <c r="F66" s="1" t="str">
        <f>IF(ISBLANK(A66),"",CONCATENATE(VLOOKUP(A66,products!A:C,3,0)," ",LOWER(D66)))</f>
        <v/>
      </c>
      <c r="G66" s="1" t="str">
        <f>IF(ISBLANK(A66),"",CONCATENATE("&lt;ul&gt;&lt;li&gt;Model size:  ",VLOOKUP(A66,products!A:E,5,0),"&lt;/li&gt;&lt;li&gt;Model height:  ",VLOOKUP(A66,products!A:F,6,0)," cm&lt;/li&gt;&lt;li&gt;Colour:  ",D66,"&lt;/li&gt;&lt;li&gt;",VLOOKUP(A66,products!A:D,4,0),"&lt;/li&gt;&lt;/ul&gt;"))</f>
        <v/>
      </c>
      <c r="H66" s="1" t="str">
        <f t="shared" si="2"/>
        <v/>
      </c>
      <c r="I66" s="1" t="str">
        <f t="shared" si="3"/>
        <v/>
      </c>
      <c r="J66" s="1" t="str">
        <f>IF(ISBLANK(A66),"",VLOOKUP(A66,products!A:H,8,0))</f>
        <v/>
      </c>
      <c r="K66" s="1" t="str">
        <f>IF(ISBLANK(A66),"",VLOOKUP(A66,products!A:I,9,0))</f>
        <v/>
      </c>
      <c r="L66" s="1" t="str">
        <f>IF(ISBLANK(A66),"",VLOOKUP(A66,products!A:J,10,0))</f>
        <v/>
      </c>
      <c r="M66" s="9"/>
      <c r="N66" s="10"/>
      <c r="O66" s="1"/>
      <c r="P66" s="10"/>
    </row>
    <row r="67" spans="1:16" x14ac:dyDescent="0.2">
      <c r="A67" s="1"/>
      <c r="B67" s="1"/>
      <c r="C67" s="1" t="str">
        <f>IF(ISBLANK(A67),"",VLOOKUP(A67,products!A:G,7,0))</f>
        <v/>
      </c>
      <c r="D67" s="1" t="str">
        <f t="shared" ref="D67:D101" si="4">IF(ISBLANK(A67),"",VLOOKUP(B67,M:N,2,0))</f>
        <v/>
      </c>
      <c r="E67" s="1" t="str">
        <f t="shared" ref="E67:E101" si="5">IF(ISBLANK(A67),"",CONCATENATE(A67,"-",B67))</f>
        <v/>
      </c>
      <c r="F67" s="1" t="str">
        <f>IF(ISBLANK(A67),"",CONCATENATE(VLOOKUP(A67,products!A:C,3,0)," ",LOWER(D67)))</f>
        <v/>
      </c>
      <c r="G67" s="1" t="str">
        <f>IF(ISBLANK(A67),"",CONCATENATE("&lt;ul&gt;&lt;li&gt;Model size:  ",VLOOKUP(A67,products!A:E,5,0),"&lt;/li&gt;&lt;li&gt;Model height:  ",VLOOKUP(A67,products!A:F,6,0)," cm&lt;/li&gt;&lt;li&gt;Colour:  ",D67,"&lt;/li&gt;&lt;li&gt;",VLOOKUP(A67,products!A:D,4,0),"&lt;/li&gt;&lt;/ul&gt;"))</f>
        <v/>
      </c>
      <c r="H67" s="1" t="str">
        <f t="shared" ref="H67:H101" si="6">IF(ISBLANK(A67),"",VLOOKUP(C67,O:P,2,0))</f>
        <v/>
      </c>
      <c r="I67" s="1" t="str">
        <f t="shared" ref="I67:I101" si="7">IF(ISBLANK(A67),"",CONCATENATE($Q$2,E67,"-1.jpg, ",$Q$2,E67,"-2.jpg, ",$Q$2,E67,"-3.jpg, ",$Q$2,E67,"-4.jpg, ",$Q$2,E67,"-5.jpg, ",$Q$2,E67,"-6.jpg",))</f>
        <v/>
      </c>
      <c r="J67" s="1" t="str">
        <f>IF(ISBLANK(A67),"",VLOOKUP(A67,products!A:H,8,0))</f>
        <v/>
      </c>
      <c r="K67" s="1" t="str">
        <f>IF(ISBLANK(A67),"",VLOOKUP(A67,products!A:I,9,0))</f>
        <v/>
      </c>
      <c r="L67" s="1" t="str">
        <f>IF(ISBLANK(A67),"",VLOOKUP(A67,products!A:J,10,0))</f>
        <v/>
      </c>
      <c r="M67" s="9"/>
      <c r="N67" s="10"/>
      <c r="O67" s="1"/>
      <c r="P67" s="10"/>
    </row>
    <row r="68" spans="1:16" x14ac:dyDescent="0.2">
      <c r="A68" s="1"/>
      <c r="B68" s="1"/>
      <c r="C68" s="1" t="str">
        <f>IF(ISBLANK(A68),"",VLOOKUP(A68,products!A:G,7,0))</f>
        <v/>
      </c>
      <c r="D68" s="1" t="str">
        <f t="shared" si="4"/>
        <v/>
      </c>
      <c r="E68" s="1" t="str">
        <f t="shared" si="5"/>
        <v/>
      </c>
      <c r="F68" s="1" t="str">
        <f>IF(ISBLANK(A68),"",CONCATENATE(VLOOKUP(A68,products!A:C,3,0)," ",LOWER(D68)))</f>
        <v/>
      </c>
      <c r="G68" s="1" t="str">
        <f>IF(ISBLANK(A68),"",CONCATENATE("&lt;ul&gt;&lt;li&gt;Model size:  ",VLOOKUP(A68,products!A:E,5,0),"&lt;/li&gt;&lt;li&gt;Model height:  ",VLOOKUP(A68,products!A:F,6,0)," cm&lt;/li&gt;&lt;li&gt;Colour:  ",D68,"&lt;/li&gt;&lt;li&gt;",VLOOKUP(A68,products!A:D,4,0),"&lt;/li&gt;&lt;/ul&gt;"))</f>
        <v/>
      </c>
      <c r="H68" s="1" t="str">
        <f t="shared" si="6"/>
        <v/>
      </c>
      <c r="I68" s="1" t="str">
        <f t="shared" si="7"/>
        <v/>
      </c>
      <c r="J68" s="1" t="str">
        <f>IF(ISBLANK(A68),"",VLOOKUP(A68,products!A:H,8,0))</f>
        <v/>
      </c>
      <c r="K68" s="1" t="str">
        <f>IF(ISBLANK(A68),"",VLOOKUP(A68,products!A:I,9,0))</f>
        <v/>
      </c>
      <c r="L68" s="1" t="str">
        <f>IF(ISBLANK(A68),"",VLOOKUP(A68,products!A:J,10,0))</f>
        <v/>
      </c>
      <c r="M68" s="9"/>
      <c r="N68" s="10"/>
      <c r="O68" s="1"/>
      <c r="P68" s="10"/>
    </row>
    <row r="69" spans="1:16" x14ac:dyDescent="0.2">
      <c r="A69" s="1"/>
      <c r="B69" s="1"/>
      <c r="C69" s="1" t="str">
        <f>IF(ISBLANK(A69),"",VLOOKUP(A69,products!A:G,7,0))</f>
        <v/>
      </c>
      <c r="D69" s="1" t="str">
        <f t="shared" si="4"/>
        <v/>
      </c>
      <c r="E69" s="1" t="str">
        <f t="shared" si="5"/>
        <v/>
      </c>
      <c r="F69" s="1" t="str">
        <f>IF(ISBLANK(A69),"",CONCATENATE(VLOOKUP(A69,products!A:C,3,0)," ",LOWER(D69)))</f>
        <v/>
      </c>
      <c r="G69" s="1" t="str">
        <f>IF(ISBLANK(A69),"",CONCATENATE("&lt;ul&gt;&lt;li&gt;Model size:  ",VLOOKUP(A69,products!A:E,5,0),"&lt;/li&gt;&lt;li&gt;Model height:  ",VLOOKUP(A69,products!A:F,6,0)," cm&lt;/li&gt;&lt;li&gt;Colour:  ",D69,"&lt;/li&gt;&lt;li&gt;",VLOOKUP(A69,products!A:D,4,0),"&lt;/li&gt;&lt;/ul&gt;"))</f>
        <v/>
      </c>
      <c r="H69" s="1" t="str">
        <f t="shared" si="6"/>
        <v/>
      </c>
      <c r="I69" s="1" t="str">
        <f t="shared" si="7"/>
        <v/>
      </c>
      <c r="J69" s="1" t="str">
        <f>IF(ISBLANK(A69),"",VLOOKUP(A69,products!A:H,8,0))</f>
        <v/>
      </c>
      <c r="K69" s="1" t="str">
        <f>IF(ISBLANK(A69),"",VLOOKUP(A69,products!A:I,9,0))</f>
        <v/>
      </c>
      <c r="L69" s="1" t="str">
        <f>IF(ISBLANK(A69),"",VLOOKUP(A69,products!A:J,10,0))</f>
        <v/>
      </c>
      <c r="M69" s="9"/>
      <c r="N69" s="10"/>
      <c r="O69" s="1"/>
      <c r="P69" s="10"/>
    </row>
    <row r="70" spans="1:16" x14ac:dyDescent="0.2">
      <c r="A70" s="1"/>
      <c r="B70" s="1"/>
      <c r="C70" s="1" t="str">
        <f>IF(ISBLANK(A70),"",VLOOKUP(A70,products!A:G,7,0))</f>
        <v/>
      </c>
      <c r="D70" s="1" t="str">
        <f t="shared" si="4"/>
        <v/>
      </c>
      <c r="E70" s="1" t="str">
        <f t="shared" si="5"/>
        <v/>
      </c>
      <c r="F70" s="1" t="str">
        <f>IF(ISBLANK(A70),"",CONCATENATE(VLOOKUP(A70,products!A:C,3,0)," ",LOWER(D70)))</f>
        <v/>
      </c>
      <c r="G70" s="1" t="str">
        <f>IF(ISBLANK(A70),"",CONCATENATE("&lt;ul&gt;&lt;li&gt;Model size:  ",VLOOKUP(A70,products!A:E,5,0),"&lt;/li&gt;&lt;li&gt;Model height:  ",VLOOKUP(A70,products!A:F,6,0)," cm&lt;/li&gt;&lt;li&gt;Colour:  ",D70,"&lt;/li&gt;&lt;li&gt;",VLOOKUP(A70,products!A:D,4,0),"&lt;/li&gt;&lt;/ul&gt;"))</f>
        <v/>
      </c>
      <c r="H70" s="1" t="str">
        <f t="shared" si="6"/>
        <v/>
      </c>
      <c r="I70" s="1" t="str">
        <f t="shared" si="7"/>
        <v/>
      </c>
      <c r="J70" s="1" t="str">
        <f>IF(ISBLANK(A70),"",VLOOKUP(A70,products!A:H,8,0))</f>
        <v/>
      </c>
      <c r="K70" s="1" t="str">
        <f>IF(ISBLANK(A70),"",VLOOKUP(A70,products!A:I,9,0))</f>
        <v/>
      </c>
      <c r="L70" s="1" t="str">
        <f>IF(ISBLANK(A70),"",VLOOKUP(A70,products!A:J,10,0))</f>
        <v/>
      </c>
      <c r="M70" s="9"/>
      <c r="N70" s="10"/>
      <c r="O70" s="1"/>
      <c r="P70" s="10"/>
    </row>
    <row r="71" spans="1:16" x14ac:dyDescent="0.2">
      <c r="A71" s="1"/>
      <c r="B71" s="1"/>
      <c r="C71" s="1" t="str">
        <f>IF(ISBLANK(A71),"",VLOOKUP(A71,products!A:G,7,0))</f>
        <v/>
      </c>
      <c r="D71" s="1" t="str">
        <f t="shared" si="4"/>
        <v/>
      </c>
      <c r="E71" s="1" t="str">
        <f t="shared" si="5"/>
        <v/>
      </c>
      <c r="F71" s="1" t="str">
        <f>IF(ISBLANK(A71),"",CONCATENATE(VLOOKUP(A71,products!A:C,3,0)," ",LOWER(D71)))</f>
        <v/>
      </c>
      <c r="G71" s="1" t="str">
        <f>IF(ISBLANK(A71),"",CONCATENATE("&lt;ul&gt;&lt;li&gt;Model size:  ",VLOOKUP(A71,products!A:E,5,0),"&lt;/li&gt;&lt;li&gt;Model height:  ",VLOOKUP(A71,products!A:F,6,0)," cm&lt;/li&gt;&lt;li&gt;Colour:  ",D71,"&lt;/li&gt;&lt;li&gt;",VLOOKUP(A71,products!A:D,4,0),"&lt;/li&gt;&lt;/ul&gt;"))</f>
        <v/>
      </c>
      <c r="H71" s="1" t="str">
        <f t="shared" si="6"/>
        <v/>
      </c>
      <c r="I71" s="1" t="str">
        <f t="shared" si="7"/>
        <v/>
      </c>
      <c r="J71" s="1" t="str">
        <f>IF(ISBLANK(A71),"",VLOOKUP(A71,products!A:H,8,0))</f>
        <v/>
      </c>
      <c r="K71" s="1" t="str">
        <f>IF(ISBLANK(A71),"",VLOOKUP(A71,products!A:I,9,0))</f>
        <v/>
      </c>
      <c r="L71" s="1" t="str">
        <f>IF(ISBLANK(A71),"",VLOOKUP(A71,products!A:J,10,0))</f>
        <v/>
      </c>
      <c r="M71" s="9"/>
      <c r="N71" s="10"/>
      <c r="O71" s="1"/>
      <c r="P71" s="10"/>
    </row>
    <row r="72" spans="1:16" x14ac:dyDescent="0.2">
      <c r="A72" s="1"/>
      <c r="B72" s="1"/>
      <c r="C72" s="1" t="str">
        <f>IF(ISBLANK(A72),"",VLOOKUP(A72,products!A:G,7,0))</f>
        <v/>
      </c>
      <c r="D72" s="1" t="str">
        <f t="shared" si="4"/>
        <v/>
      </c>
      <c r="E72" s="1" t="str">
        <f t="shared" si="5"/>
        <v/>
      </c>
      <c r="F72" s="1" t="str">
        <f>IF(ISBLANK(A72),"",CONCATENATE(VLOOKUP(A72,products!A:C,3,0)," ",LOWER(D72)))</f>
        <v/>
      </c>
      <c r="G72" s="1" t="str">
        <f>IF(ISBLANK(A72),"",CONCATENATE("&lt;ul&gt;&lt;li&gt;Model size:  ",VLOOKUP(A72,products!A:E,5,0),"&lt;/li&gt;&lt;li&gt;Model height:  ",VLOOKUP(A72,products!A:F,6,0)," cm&lt;/li&gt;&lt;li&gt;Colour:  ",D72,"&lt;/li&gt;&lt;li&gt;",VLOOKUP(A72,products!A:D,4,0),"&lt;/li&gt;&lt;/ul&gt;"))</f>
        <v/>
      </c>
      <c r="H72" s="1" t="str">
        <f t="shared" si="6"/>
        <v/>
      </c>
      <c r="I72" s="1" t="str">
        <f t="shared" si="7"/>
        <v/>
      </c>
      <c r="J72" s="1" t="str">
        <f>IF(ISBLANK(A72),"",VLOOKUP(A72,products!A:H,8,0))</f>
        <v/>
      </c>
      <c r="K72" s="1" t="str">
        <f>IF(ISBLANK(A72),"",VLOOKUP(A72,products!A:I,9,0))</f>
        <v/>
      </c>
      <c r="L72" s="1" t="str">
        <f>IF(ISBLANK(A72),"",VLOOKUP(A72,products!A:J,10,0))</f>
        <v/>
      </c>
      <c r="M72" s="9"/>
      <c r="N72" s="10"/>
      <c r="O72" s="1"/>
      <c r="P72" s="10"/>
    </row>
    <row r="73" spans="1:16" x14ac:dyDescent="0.2">
      <c r="A73" s="1"/>
      <c r="B73" s="1"/>
      <c r="C73" s="1" t="str">
        <f>IF(ISBLANK(A73),"",VLOOKUP(A73,products!A:G,7,0))</f>
        <v/>
      </c>
      <c r="D73" s="1" t="str">
        <f t="shared" si="4"/>
        <v/>
      </c>
      <c r="E73" s="1" t="str">
        <f t="shared" si="5"/>
        <v/>
      </c>
      <c r="F73" s="1" t="str">
        <f>IF(ISBLANK(A73),"",CONCATENATE(VLOOKUP(A73,products!A:C,3,0)," ",LOWER(D73)))</f>
        <v/>
      </c>
      <c r="G73" s="1" t="str">
        <f>IF(ISBLANK(A73),"",CONCATENATE("&lt;ul&gt;&lt;li&gt;Model size:  ",VLOOKUP(A73,products!A:E,5,0),"&lt;/li&gt;&lt;li&gt;Model height:  ",VLOOKUP(A73,products!A:F,6,0)," cm&lt;/li&gt;&lt;li&gt;Colour:  ",D73,"&lt;/li&gt;&lt;li&gt;",VLOOKUP(A73,products!A:D,4,0),"&lt;/li&gt;&lt;/ul&gt;"))</f>
        <v/>
      </c>
      <c r="H73" s="1" t="str">
        <f t="shared" si="6"/>
        <v/>
      </c>
      <c r="I73" s="1" t="str">
        <f t="shared" si="7"/>
        <v/>
      </c>
      <c r="J73" s="1" t="str">
        <f>IF(ISBLANK(A73),"",VLOOKUP(A73,products!A:H,8,0))</f>
        <v/>
      </c>
      <c r="K73" s="1" t="str">
        <f>IF(ISBLANK(A73),"",VLOOKUP(A73,products!A:I,9,0))</f>
        <v/>
      </c>
      <c r="L73" s="1" t="str">
        <f>IF(ISBLANK(A73),"",VLOOKUP(A73,products!A:J,10,0))</f>
        <v/>
      </c>
      <c r="M73" s="9"/>
      <c r="N73" s="10"/>
      <c r="O73" s="1"/>
      <c r="P73" s="10"/>
    </row>
    <row r="74" spans="1:16" x14ac:dyDescent="0.2">
      <c r="A74" s="1"/>
      <c r="B74" s="1"/>
      <c r="C74" s="1" t="str">
        <f>IF(ISBLANK(A74),"",VLOOKUP(A74,products!A:G,7,0))</f>
        <v/>
      </c>
      <c r="D74" s="1" t="str">
        <f t="shared" si="4"/>
        <v/>
      </c>
      <c r="E74" s="1" t="str">
        <f t="shared" si="5"/>
        <v/>
      </c>
      <c r="F74" s="1" t="str">
        <f>IF(ISBLANK(A74),"",CONCATENATE(VLOOKUP(A74,products!A:C,3,0)," ",LOWER(D74)))</f>
        <v/>
      </c>
      <c r="G74" s="1" t="str">
        <f>IF(ISBLANK(A74),"",CONCATENATE("&lt;ul&gt;&lt;li&gt;Model size:  ",VLOOKUP(A74,products!A:E,5,0),"&lt;/li&gt;&lt;li&gt;Model height:  ",VLOOKUP(A74,products!A:F,6,0)," cm&lt;/li&gt;&lt;li&gt;Colour:  ",D74,"&lt;/li&gt;&lt;li&gt;",VLOOKUP(A74,products!A:D,4,0),"&lt;/li&gt;&lt;/ul&gt;"))</f>
        <v/>
      </c>
      <c r="H74" s="1" t="str">
        <f t="shared" si="6"/>
        <v/>
      </c>
      <c r="I74" s="1" t="str">
        <f t="shared" si="7"/>
        <v/>
      </c>
      <c r="J74" s="1" t="str">
        <f>IF(ISBLANK(A74),"",VLOOKUP(A74,products!A:H,8,0))</f>
        <v/>
      </c>
      <c r="K74" s="1" t="str">
        <f>IF(ISBLANK(A74),"",VLOOKUP(A74,products!A:I,9,0))</f>
        <v/>
      </c>
      <c r="L74" s="1" t="str">
        <f>IF(ISBLANK(A74),"",VLOOKUP(A74,products!A:J,10,0))</f>
        <v/>
      </c>
      <c r="M74" s="9"/>
      <c r="N74" s="10"/>
      <c r="O74" s="1"/>
      <c r="P74" s="10"/>
    </row>
    <row r="75" spans="1:16" x14ac:dyDescent="0.2">
      <c r="A75" s="1"/>
      <c r="B75" s="1"/>
      <c r="C75" s="1" t="str">
        <f>IF(ISBLANK(A75),"",VLOOKUP(A75,products!A:G,7,0))</f>
        <v/>
      </c>
      <c r="D75" s="1" t="str">
        <f t="shared" si="4"/>
        <v/>
      </c>
      <c r="E75" s="1" t="str">
        <f t="shared" si="5"/>
        <v/>
      </c>
      <c r="F75" s="1" t="str">
        <f>IF(ISBLANK(A75),"",CONCATENATE(VLOOKUP(A75,products!A:C,3,0)," ",LOWER(D75)))</f>
        <v/>
      </c>
      <c r="G75" s="1" t="str">
        <f>IF(ISBLANK(A75),"",CONCATENATE("&lt;ul&gt;&lt;li&gt;Model size:  ",VLOOKUP(A75,products!A:E,5,0),"&lt;/li&gt;&lt;li&gt;Model height:  ",VLOOKUP(A75,products!A:F,6,0)," cm&lt;/li&gt;&lt;li&gt;Colour:  ",D75,"&lt;/li&gt;&lt;li&gt;",VLOOKUP(A75,products!A:D,4,0),"&lt;/li&gt;&lt;/ul&gt;"))</f>
        <v/>
      </c>
      <c r="H75" s="1" t="str">
        <f t="shared" si="6"/>
        <v/>
      </c>
      <c r="I75" s="1" t="str">
        <f t="shared" si="7"/>
        <v/>
      </c>
      <c r="J75" s="1" t="str">
        <f>IF(ISBLANK(A75),"",VLOOKUP(A75,products!A:H,8,0))</f>
        <v/>
      </c>
      <c r="K75" s="1" t="str">
        <f>IF(ISBLANK(A75),"",VLOOKUP(A75,products!A:I,9,0))</f>
        <v/>
      </c>
      <c r="L75" s="1" t="str">
        <f>IF(ISBLANK(A75),"",VLOOKUP(A75,products!A:J,10,0))</f>
        <v/>
      </c>
      <c r="M75" s="9"/>
      <c r="N75" s="10"/>
      <c r="O75" s="1"/>
      <c r="P75" s="10"/>
    </row>
    <row r="76" spans="1:16" x14ac:dyDescent="0.2">
      <c r="A76" s="1"/>
      <c r="B76" s="1"/>
      <c r="C76" s="1" t="str">
        <f>IF(ISBLANK(A76),"",VLOOKUP(A76,products!A:G,7,0))</f>
        <v/>
      </c>
      <c r="D76" s="1" t="str">
        <f t="shared" si="4"/>
        <v/>
      </c>
      <c r="E76" s="1" t="str">
        <f t="shared" si="5"/>
        <v/>
      </c>
      <c r="F76" s="1" t="str">
        <f>IF(ISBLANK(A76),"",CONCATENATE(VLOOKUP(A76,products!A:C,3,0)," ",LOWER(D76)))</f>
        <v/>
      </c>
      <c r="G76" s="1" t="str">
        <f>IF(ISBLANK(A76),"",CONCATENATE("&lt;ul&gt;&lt;li&gt;Model size:  ",VLOOKUP(A76,products!A:E,5,0),"&lt;/li&gt;&lt;li&gt;Model height:  ",VLOOKUP(A76,products!A:F,6,0)," cm&lt;/li&gt;&lt;li&gt;Colour:  ",D76,"&lt;/li&gt;&lt;li&gt;",VLOOKUP(A76,products!A:D,4,0),"&lt;/li&gt;&lt;/ul&gt;"))</f>
        <v/>
      </c>
      <c r="H76" s="1" t="str">
        <f t="shared" si="6"/>
        <v/>
      </c>
      <c r="I76" s="1" t="str">
        <f t="shared" si="7"/>
        <v/>
      </c>
      <c r="J76" s="1" t="str">
        <f>IF(ISBLANK(A76),"",VLOOKUP(A76,products!A:H,8,0))</f>
        <v/>
      </c>
      <c r="K76" s="1" t="str">
        <f>IF(ISBLANK(A76),"",VLOOKUP(A76,products!A:I,9,0))</f>
        <v/>
      </c>
      <c r="L76" s="1" t="str">
        <f>IF(ISBLANK(A76),"",VLOOKUP(A76,products!A:J,10,0))</f>
        <v/>
      </c>
      <c r="M76" s="9"/>
      <c r="N76" s="10"/>
      <c r="O76" s="1"/>
      <c r="P76" s="10"/>
    </row>
    <row r="77" spans="1:16" x14ac:dyDescent="0.2">
      <c r="A77" s="1"/>
      <c r="B77" s="1"/>
      <c r="C77" s="1" t="str">
        <f>IF(ISBLANK(A77),"",VLOOKUP(A77,products!A:G,7,0))</f>
        <v/>
      </c>
      <c r="D77" s="1" t="str">
        <f t="shared" si="4"/>
        <v/>
      </c>
      <c r="E77" s="1" t="str">
        <f t="shared" si="5"/>
        <v/>
      </c>
      <c r="F77" s="1" t="str">
        <f>IF(ISBLANK(A77),"",CONCATENATE(VLOOKUP(A77,products!A:C,3,0)," ",LOWER(D77)))</f>
        <v/>
      </c>
      <c r="G77" s="1" t="str">
        <f>IF(ISBLANK(A77),"",CONCATENATE("&lt;ul&gt;&lt;li&gt;Model size:  ",VLOOKUP(A77,products!A:E,5,0),"&lt;/li&gt;&lt;li&gt;Model height:  ",VLOOKUP(A77,products!A:F,6,0)," cm&lt;/li&gt;&lt;li&gt;Colour:  ",D77,"&lt;/li&gt;&lt;li&gt;",VLOOKUP(A77,products!A:D,4,0),"&lt;/li&gt;&lt;/ul&gt;"))</f>
        <v/>
      </c>
      <c r="H77" s="1" t="str">
        <f t="shared" si="6"/>
        <v/>
      </c>
      <c r="I77" s="1" t="str">
        <f t="shared" si="7"/>
        <v/>
      </c>
      <c r="J77" s="1" t="str">
        <f>IF(ISBLANK(A77),"",VLOOKUP(A77,products!A:H,8,0))</f>
        <v/>
      </c>
      <c r="K77" s="1" t="str">
        <f>IF(ISBLANK(A77),"",VLOOKUP(A77,products!A:I,9,0))</f>
        <v/>
      </c>
      <c r="L77" s="1" t="str">
        <f>IF(ISBLANK(A77),"",VLOOKUP(A77,products!A:J,10,0))</f>
        <v/>
      </c>
      <c r="M77" s="9"/>
      <c r="N77" s="10"/>
      <c r="O77" s="1"/>
      <c r="P77" s="10"/>
    </row>
    <row r="78" spans="1:16" x14ac:dyDescent="0.2">
      <c r="A78" s="1"/>
      <c r="B78" s="1"/>
      <c r="C78" s="1" t="str">
        <f>IF(ISBLANK(A78),"",VLOOKUP(A78,products!A:G,7,0))</f>
        <v/>
      </c>
      <c r="D78" s="1" t="str">
        <f t="shared" si="4"/>
        <v/>
      </c>
      <c r="E78" s="1" t="str">
        <f t="shared" si="5"/>
        <v/>
      </c>
      <c r="F78" s="1" t="str">
        <f>IF(ISBLANK(A78),"",CONCATENATE(VLOOKUP(A78,products!A:C,3,0)," ",LOWER(D78)))</f>
        <v/>
      </c>
      <c r="G78" s="1" t="str">
        <f>IF(ISBLANK(A78),"",CONCATENATE("&lt;ul&gt;&lt;li&gt;Model size:  ",VLOOKUP(A78,products!A:E,5,0),"&lt;/li&gt;&lt;li&gt;Model height:  ",VLOOKUP(A78,products!A:F,6,0)," cm&lt;/li&gt;&lt;li&gt;Colour:  ",D78,"&lt;/li&gt;&lt;li&gt;",VLOOKUP(A78,products!A:D,4,0),"&lt;/li&gt;&lt;/ul&gt;"))</f>
        <v/>
      </c>
      <c r="H78" s="1" t="str">
        <f t="shared" si="6"/>
        <v/>
      </c>
      <c r="I78" s="1" t="str">
        <f t="shared" si="7"/>
        <v/>
      </c>
      <c r="J78" s="1" t="str">
        <f>IF(ISBLANK(A78),"",VLOOKUP(A78,products!A:H,8,0))</f>
        <v/>
      </c>
      <c r="K78" s="1" t="str">
        <f>IF(ISBLANK(A78),"",VLOOKUP(A78,products!A:I,9,0))</f>
        <v/>
      </c>
      <c r="L78" s="1" t="str">
        <f>IF(ISBLANK(A78),"",VLOOKUP(A78,products!A:J,10,0))</f>
        <v/>
      </c>
      <c r="M78" s="9"/>
      <c r="N78" s="10"/>
      <c r="O78" s="1"/>
      <c r="P78" s="10"/>
    </row>
    <row r="79" spans="1:16" x14ac:dyDescent="0.2">
      <c r="A79" s="1"/>
      <c r="B79" s="1"/>
      <c r="C79" s="1" t="str">
        <f>IF(ISBLANK(A79),"",VLOOKUP(A79,products!A:G,7,0))</f>
        <v/>
      </c>
      <c r="D79" s="1" t="str">
        <f t="shared" si="4"/>
        <v/>
      </c>
      <c r="E79" s="1" t="str">
        <f t="shared" si="5"/>
        <v/>
      </c>
      <c r="F79" s="1" t="str">
        <f>IF(ISBLANK(A79),"",CONCATENATE(VLOOKUP(A79,products!A:C,3,0)," ",LOWER(D79)))</f>
        <v/>
      </c>
      <c r="G79" s="1" t="str">
        <f>IF(ISBLANK(A79),"",CONCATENATE("&lt;ul&gt;&lt;li&gt;Model size:  ",VLOOKUP(A79,products!A:E,5,0),"&lt;/li&gt;&lt;li&gt;Model height:  ",VLOOKUP(A79,products!A:F,6,0)," cm&lt;/li&gt;&lt;li&gt;Colour:  ",D79,"&lt;/li&gt;&lt;li&gt;",VLOOKUP(A79,products!A:D,4,0),"&lt;/li&gt;&lt;/ul&gt;"))</f>
        <v/>
      </c>
      <c r="H79" s="1" t="str">
        <f t="shared" si="6"/>
        <v/>
      </c>
      <c r="I79" s="1" t="str">
        <f t="shared" si="7"/>
        <v/>
      </c>
      <c r="J79" s="1" t="str">
        <f>IF(ISBLANK(A79),"",VLOOKUP(A79,products!A:H,8,0))</f>
        <v/>
      </c>
      <c r="K79" s="1" t="str">
        <f>IF(ISBLANK(A79),"",VLOOKUP(A79,products!A:I,9,0))</f>
        <v/>
      </c>
      <c r="L79" s="1" t="str">
        <f>IF(ISBLANK(A79),"",VLOOKUP(A79,products!A:J,10,0))</f>
        <v/>
      </c>
      <c r="M79" s="9"/>
      <c r="N79" s="10"/>
      <c r="O79" s="1"/>
      <c r="P79" s="10"/>
    </row>
    <row r="80" spans="1:16" x14ac:dyDescent="0.2">
      <c r="A80" s="1"/>
      <c r="B80" s="1"/>
      <c r="C80" s="1" t="str">
        <f>IF(ISBLANK(A80),"",VLOOKUP(A80,products!A:G,7,0))</f>
        <v/>
      </c>
      <c r="D80" s="1" t="str">
        <f t="shared" si="4"/>
        <v/>
      </c>
      <c r="E80" s="1" t="str">
        <f t="shared" si="5"/>
        <v/>
      </c>
      <c r="F80" s="1" t="str">
        <f>IF(ISBLANK(A80),"",CONCATENATE(VLOOKUP(A80,products!A:C,3,0)," ",LOWER(D80)))</f>
        <v/>
      </c>
      <c r="G80" s="1" t="str">
        <f>IF(ISBLANK(A80),"",CONCATENATE("&lt;ul&gt;&lt;li&gt;Model size:  ",VLOOKUP(A80,products!A:E,5,0),"&lt;/li&gt;&lt;li&gt;Model height:  ",VLOOKUP(A80,products!A:F,6,0)," cm&lt;/li&gt;&lt;li&gt;Colour:  ",D80,"&lt;/li&gt;&lt;li&gt;",VLOOKUP(A80,products!A:D,4,0),"&lt;/li&gt;&lt;/ul&gt;"))</f>
        <v/>
      </c>
      <c r="H80" s="1" t="str">
        <f t="shared" si="6"/>
        <v/>
      </c>
      <c r="I80" s="1" t="str">
        <f t="shared" si="7"/>
        <v/>
      </c>
      <c r="J80" s="1" t="str">
        <f>IF(ISBLANK(A80),"",VLOOKUP(A80,products!A:H,8,0))</f>
        <v/>
      </c>
      <c r="K80" s="1" t="str">
        <f>IF(ISBLANK(A80),"",VLOOKUP(A80,products!A:I,9,0))</f>
        <v/>
      </c>
      <c r="L80" s="1" t="str">
        <f>IF(ISBLANK(A80),"",VLOOKUP(A80,products!A:J,10,0))</f>
        <v/>
      </c>
      <c r="M80" s="9"/>
      <c r="N80" s="10"/>
      <c r="O80" s="1"/>
      <c r="P80" s="10"/>
    </row>
    <row r="81" spans="1:16" x14ac:dyDescent="0.2">
      <c r="A81" s="1"/>
      <c r="B81" s="1"/>
      <c r="C81" s="1" t="str">
        <f>IF(ISBLANK(A81),"",VLOOKUP(A81,products!A:G,7,0))</f>
        <v/>
      </c>
      <c r="D81" s="1" t="str">
        <f t="shared" si="4"/>
        <v/>
      </c>
      <c r="E81" s="1" t="str">
        <f t="shared" si="5"/>
        <v/>
      </c>
      <c r="F81" s="1" t="str">
        <f>IF(ISBLANK(A81),"",CONCATENATE(VLOOKUP(A81,products!A:C,3,0)," ",LOWER(D81)))</f>
        <v/>
      </c>
      <c r="G81" s="1" t="str">
        <f>IF(ISBLANK(A81),"",CONCATENATE("&lt;ul&gt;&lt;li&gt;Model size:  ",VLOOKUP(A81,products!A:E,5,0),"&lt;/li&gt;&lt;li&gt;Model height:  ",VLOOKUP(A81,products!A:F,6,0)," cm&lt;/li&gt;&lt;li&gt;Colour:  ",D81,"&lt;/li&gt;&lt;li&gt;",VLOOKUP(A81,products!A:D,4,0),"&lt;/li&gt;&lt;/ul&gt;"))</f>
        <v/>
      </c>
      <c r="H81" s="1" t="str">
        <f t="shared" si="6"/>
        <v/>
      </c>
      <c r="I81" s="1" t="str">
        <f t="shared" si="7"/>
        <v/>
      </c>
      <c r="J81" s="1" t="str">
        <f>IF(ISBLANK(A81),"",VLOOKUP(A81,products!A:H,8,0))</f>
        <v/>
      </c>
      <c r="K81" s="1" t="str">
        <f>IF(ISBLANK(A81),"",VLOOKUP(A81,products!A:I,9,0))</f>
        <v/>
      </c>
      <c r="L81" s="1" t="str">
        <f>IF(ISBLANK(A81),"",VLOOKUP(A81,products!A:J,10,0))</f>
        <v/>
      </c>
      <c r="M81" s="9"/>
      <c r="N81" s="10"/>
      <c r="O81" s="1"/>
      <c r="P81" s="10"/>
    </row>
    <row r="82" spans="1:16" x14ac:dyDescent="0.2">
      <c r="A82" s="1"/>
      <c r="B82" s="1"/>
      <c r="C82" s="1" t="str">
        <f>IF(ISBLANK(A82),"",VLOOKUP(A82,products!A:G,7,0))</f>
        <v/>
      </c>
      <c r="D82" s="1" t="str">
        <f t="shared" si="4"/>
        <v/>
      </c>
      <c r="E82" s="1" t="str">
        <f t="shared" si="5"/>
        <v/>
      </c>
      <c r="F82" s="1" t="str">
        <f>IF(ISBLANK(A82),"",CONCATENATE(VLOOKUP(A82,products!A:C,3,0)," ",LOWER(D82)))</f>
        <v/>
      </c>
      <c r="G82" s="1" t="str">
        <f>IF(ISBLANK(A82),"",CONCATENATE("&lt;ul&gt;&lt;li&gt;Model size:  ",VLOOKUP(A82,products!A:E,5,0),"&lt;/li&gt;&lt;li&gt;Model height:  ",VLOOKUP(A82,products!A:F,6,0)," cm&lt;/li&gt;&lt;li&gt;Colour:  ",D82,"&lt;/li&gt;&lt;li&gt;",VLOOKUP(A82,products!A:D,4,0),"&lt;/li&gt;&lt;/ul&gt;"))</f>
        <v/>
      </c>
      <c r="H82" s="1" t="str">
        <f t="shared" si="6"/>
        <v/>
      </c>
      <c r="I82" s="1" t="str">
        <f t="shared" si="7"/>
        <v/>
      </c>
      <c r="J82" s="1" t="str">
        <f>IF(ISBLANK(A82),"",VLOOKUP(A82,products!A:H,8,0))</f>
        <v/>
      </c>
      <c r="K82" s="1" t="str">
        <f>IF(ISBLANK(A82),"",VLOOKUP(A82,products!A:I,9,0))</f>
        <v/>
      </c>
      <c r="L82" s="1" t="str">
        <f>IF(ISBLANK(A82),"",VLOOKUP(A82,products!A:J,10,0))</f>
        <v/>
      </c>
      <c r="M82" s="9"/>
      <c r="N82" s="10"/>
      <c r="O82" s="1"/>
      <c r="P82" s="10"/>
    </row>
    <row r="83" spans="1:16" x14ac:dyDescent="0.2">
      <c r="A83" s="1"/>
      <c r="B83" s="1"/>
      <c r="C83" s="1" t="str">
        <f>IF(ISBLANK(A83),"",VLOOKUP(A83,products!A:G,7,0))</f>
        <v/>
      </c>
      <c r="D83" s="1" t="str">
        <f t="shared" si="4"/>
        <v/>
      </c>
      <c r="E83" s="1" t="str">
        <f t="shared" si="5"/>
        <v/>
      </c>
      <c r="F83" s="1" t="str">
        <f>IF(ISBLANK(A83),"",CONCATENATE(VLOOKUP(A83,products!A:C,3,0)," ",LOWER(D83)))</f>
        <v/>
      </c>
      <c r="G83" s="1" t="str">
        <f>IF(ISBLANK(A83),"",CONCATENATE("&lt;ul&gt;&lt;li&gt;Model size:  ",VLOOKUP(A83,products!A:E,5,0),"&lt;/li&gt;&lt;li&gt;Model height:  ",VLOOKUP(A83,products!A:F,6,0)," cm&lt;/li&gt;&lt;li&gt;Colour:  ",D83,"&lt;/li&gt;&lt;li&gt;",VLOOKUP(A83,products!A:D,4,0),"&lt;/li&gt;&lt;/ul&gt;"))</f>
        <v/>
      </c>
      <c r="H83" s="1" t="str">
        <f t="shared" si="6"/>
        <v/>
      </c>
      <c r="I83" s="1" t="str">
        <f t="shared" si="7"/>
        <v/>
      </c>
      <c r="J83" s="1" t="str">
        <f>IF(ISBLANK(A83),"",VLOOKUP(A83,products!A:H,8,0))</f>
        <v/>
      </c>
      <c r="K83" s="1" t="str">
        <f>IF(ISBLANK(A83),"",VLOOKUP(A83,products!A:I,9,0))</f>
        <v/>
      </c>
      <c r="L83" s="1" t="str">
        <f>IF(ISBLANK(A83),"",VLOOKUP(A83,products!A:J,10,0))</f>
        <v/>
      </c>
      <c r="M83" s="9"/>
      <c r="N83" s="10"/>
      <c r="O83" s="1"/>
      <c r="P83" s="10"/>
    </row>
    <row r="84" spans="1:16" x14ac:dyDescent="0.2">
      <c r="A84" s="1"/>
      <c r="B84" s="1"/>
      <c r="C84" s="1" t="str">
        <f>IF(ISBLANK(A84),"",VLOOKUP(A84,products!A:G,7,0))</f>
        <v/>
      </c>
      <c r="D84" s="1" t="str">
        <f t="shared" si="4"/>
        <v/>
      </c>
      <c r="E84" s="1" t="str">
        <f t="shared" si="5"/>
        <v/>
      </c>
      <c r="F84" s="1" t="str">
        <f>IF(ISBLANK(A84),"",CONCATENATE(VLOOKUP(A84,products!A:C,3,0)," ",LOWER(D84)))</f>
        <v/>
      </c>
      <c r="G84" s="1" t="str">
        <f>IF(ISBLANK(A84),"",CONCATENATE("&lt;ul&gt;&lt;li&gt;Model size:  ",VLOOKUP(A84,products!A:E,5,0),"&lt;/li&gt;&lt;li&gt;Model height:  ",VLOOKUP(A84,products!A:F,6,0)," cm&lt;/li&gt;&lt;li&gt;Colour:  ",D84,"&lt;/li&gt;&lt;li&gt;",VLOOKUP(A84,products!A:D,4,0),"&lt;/li&gt;&lt;/ul&gt;"))</f>
        <v/>
      </c>
      <c r="H84" s="1" t="str">
        <f t="shared" si="6"/>
        <v/>
      </c>
      <c r="I84" s="1" t="str">
        <f t="shared" si="7"/>
        <v/>
      </c>
      <c r="J84" s="1" t="str">
        <f>IF(ISBLANK(A84),"",VLOOKUP(A84,products!A:H,8,0))</f>
        <v/>
      </c>
      <c r="K84" s="1" t="str">
        <f>IF(ISBLANK(A84),"",VLOOKUP(A84,products!A:I,9,0))</f>
        <v/>
      </c>
      <c r="L84" s="1" t="str">
        <f>IF(ISBLANK(A84),"",VLOOKUP(A84,products!A:J,10,0))</f>
        <v/>
      </c>
      <c r="M84" s="9"/>
      <c r="N84" s="10"/>
      <c r="O84" s="1"/>
      <c r="P84" s="10"/>
    </row>
    <row r="85" spans="1:16" x14ac:dyDescent="0.2">
      <c r="A85" s="1"/>
      <c r="B85" s="1"/>
      <c r="C85" s="1" t="str">
        <f>IF(ISBLANK(A85),"",VLOOKUP(A85,products!A:G,7,0))</f>
        <v/>
      </c>
      <c r="D85" s="1" t="str">
        <f t="shared" si="4"/>
        <v/>
      </c>
      <c r="E85" s="1" t="str">
        <f t="shared" si="5"/>
        <v/>
      </c>
      <c r="F85" s="1" t="str">
        <f>IF(ISBLANK(A85),"",CONCATENATE(VLOOKUP(A85,products!A:C,3,0)," ",LOWER(D85)))</f>
        <v/>
      </c>
      <c r="G85" s="1" t="str">
        <f>IF(ISBLANK(A85),"",CONCATENATE("&lt;ul&gt;&lt;li&gt;Model size:  ",VLOOKUP(A85,products!A:E,5,0),"&lt;/li&gt;&lt;li&gt;Model height:  ",VLOOKUP(A85,products!A:F,6,0)," cm&lt;/li&gt;&lt;li&gt;Colour:  ",D85,"&lt;/li&gt;&lt;li&gt;",VLOOKUP(A85,products!A:D,4,0),"&lt;/li&gt;&lt;/ul&gt;"))</f>
        <v/>
      </c>
      <c r="H85" s="1" t="str">
        <f t="shared" si="6"/>
        <v/>
      </c>
      <c r="I85" s="1" t="str">
        <f t="shared" si="7"/>
        <v/>
      </c>
      <c r="J85" s="1" t="str">
        <f>IF(ISBLANK(A85),"",VLOOKUP(A85,products!A:H,8,0))</f>
        <v/>
      </c>
      <c r="K85" s="1" t="str">
        <f>IF(ISBLANK(A85),"",VLOOKUP(A85,products!A:I,9,0))</f>
        <v/>
      </c>
      <c r="L85" s="1" t="str">
        <f>IF(ISBLANK(A85),"",VLOOKUP(A85,products!A:J,10,0))</f>
        <v/>
      </c>
      <c r="M85" s="9"/>
      <c r="N85" s="10"/>
      <c r="O85" s="1"/>
      <c r="P85" s="10"/>
    </row>
    <row r="86" spans="1:16" x14ac:dyDescent="0.2">
      <c r="A86" s="1"/>
      <c r="B86" s="1"/>
      <c r="C86" s="1" t="str">
        <f>IF(ISBLANK(A86),"",VLOOKUP(A86,products!A:G,7,0))</f>
        <v/>
      </c>
      <c r="D86" s="1" t="str">
        <f t="shared" si="4"/>
        <v/>
      </c>
      <c r="E86" s="1" t="str">
        <f t="shared" si="5"/>
        <v/>
      </c>
      <c r="F86" s="1" t="str">
        <f>IF(ISBLANK(A86),"",CONCATENATE(VLOOKUP(A86,products!A:C,3,0)," ",LOWER(D86)))</f>
        <v/>
      </c>
      <c r="G86" s="1" t="str">
        <f>IF(ISBLANK(A86),"",CONCATENATE("&lt;ul&gt;&lt;li&gt;Model size:  ",VLOOKUP(A86,products!A:E,5,0),"&lt;/li&gt;&lt;li&gt;Model height:  ",VLOOKUP(A86,products!A:F,6,0)," cm&lt;/li&gt;&lt;li&gt;Colour:  ",D86,"&lt;/li&gt;&lt;li&gt;",VLOOKUP(A86,products!A:D,4,0),"&lt;/li&gt;&lt;/ul&gt;"))</f>
        <v/>
      </c>
      <c r="H86" s="1" t="str">
        <f t="shared" si="6"/>
        <v/>
      </c>
      <c r="I86" s="1" t="str">
        <f t="shared" si="7"/>
        <v/>
      </c>
      <c r="J86" s="1" t="str">
        <f>IF(ISBLANK(A86),"",VLOOKUP(A86,products!A:H,8,0))</f>
        <v/>
      </c>
      <c r="K86" s="1" t="str">
        <f>IF(ISBLANK(A86),"",VLOOKUP(A86,products!A:I,9,0))</f>
        <v/>
      </c>
      <c r="L86" s="1" t="str">
        <f>IF(ISBLANK(A86),"",VLOOKUP(A86,products!A:J,10,0))</f>
        <v/>
      </c>
      <c r="M86" s="9"/>
      <c r="N86" s="10"/>
      <c r="O86" s="1"/>
      <c r="P86" s="10"/>
    </row>
    <row r="87" spans="1:16" x14ac:dyDescent="0.2">
      <c r="A87" s="1"/>
      <c r="B87" s="1"/>
      <c r="C87" s="1" t="str">
        <f>IF(ISBLANK(A87),"",VLOOKUP(A87,products!A:G,7,0))</f>
        <v/>
      </c>
      <c r="D87" s="1" t="str">
        <f t="shared" si="4"/>
        <v/>
      </c>
      <c r="E87" s="1" t="str">
        <f t="shared" si="5"/>
        <v/>
      </c>
      <c r="F87" s="1" t="str">
        <f>IF(ISBLANK(A87),"",CONCATENATE(VLOOKUP(A87,products!A:C,3,0)," ",LOWER(D87)))</f>
        <v/>
      </c>
      <c r="G87" s="1" t="str">
        <f>IF(ISBLANK(A87),"",CONCATENATE("&lt;ul&gt;&lt;li&gt;Model size:  ",VLOOKUP(A87,products!A:E,5,0),"&lt;/li&gt;&lt;li&gt;Model height:  ",VLOOKUP(A87,products!A:F,6,0)," cm&lt;/li&gt;&lt;li&gt;Colour:  ",D87,"&lt;/li&gt;&lt;li&gt;",VLOOKUP(A87,products!A:D,4,0),"&lt;/li&gt;&lt;/ul&gt;"))</f>
        <v/>
      </c>
      <c r="H87" s="1" t="str">
        <f t="shared" si="6"/>
        <v/>
      </c>
      <c r="I87" s="1" t="str">
        <f t="shared" si="7"/>
        <v/>
      </c>
      <c r="J87" s="1" t="str">
        <f>IF(ISBLANK(A87),"",VLOOKUP(A87,products!A:H,8,0))</f>
        <v/>
      </c>
      <c r="K87" s="1" t="str">
        <f>IF(ISBLANK(A87),"",VLOOKUP(A87,products!A:I,9,0))</f>
        <v/>
      </c>
      <c r="L87" s="1" t="str">
        <f>IF(ISBLANK(A87),"",VLOOKUP(A87,products!A:J,10,0))</f>
        <v/>
      </c>
      <c r="M87" s="9"/>
      <c r="N87" s="10"/>
      <c r="O87" s="1"/>
      <c r="P87" s="10"/>
    </row>
    <row r="88" spans="1:16" x14ac:dyDescent="0.2">
      <c r="A88" s="1"/>
      <c r="B88" s="1"/>
      <c r="C88" s="1" t="str">
        <f>IF(ISBLANK(A88),"",VLOOKUP(A88,products!A:G,7,0))</f>
        <v/>
      </c>
      <c r="D88" s="1" t="str">
        <f t="shared" si="4"/>
        <v/>
      </c>
      <c r="E88" s="1" t="str">
        <f t="shared" si="5"/>
        <v/>
      </c>
      <c r="F88" s="1" t="str">
        <f>IF(ISBLANK(A88),"",CONCATENATE(VLOOKUP(A88,products!A:C,3,0)," ",LOWER(D88)))</f>
        <v/>
      </c>
      <c r="G88" s="1" t="str">
        <f>IF(ISBLANK(A88),"",CONCATENATE("&lt;ul&gt;&lt;li&gt;Model size:  ",VLOOKUP(A88,products!A:E,5,0),"&lt;/li&gt;&lt;li&gt;Model height:  ",VLOOKUP(A88,products!A:F,6,0)," cm&lt;/li&gt;&lt;li&gt;Colour:  ",D88,"&lt;/li&gt;&lt;li&gt;",VLOOKUP(A88,products!A:D,4,0),"&lt;/li&gt;&lt;/ul&gt;"))</f>
        <v/>
      </c>
      <c r="H88" s="1" t="str">
        <f t="shared" si="6"/>
        <v/>
      </c>
      <c r="I88" s="1" t="str">
        <f t="shared" si="7"/>
        <v/>
      </c>
      <c r="J88" s="1" t="str">
        <f>IF(ISBLANK(A88),"",VLOOKUP(A88,products!A:H,8,0))</f>
        <v/>
      </c>
      <c r="K88" s="1" t="str">
        <f>IF(ISBLANK(A88),"",VLOOKUP(A88,products!A:I,9,0))</f>
        <v/>
      </c>
      <c r="L88" s="1" t="str">
        <f>IF(ISBLANK(A88),"",VLOOKUP(A88,products!A:J,10,0))</f>
        <v/>
      </c>
      <c r="M88" s="9"/>
      <c r="N88" s="10"/>
      <c r="O88" s="1"/>
      <c r="P88" s="10"/>
    </row>
    <row r="89" spans="1:16" x14ac:dyDescent="0.2">
      <c r="A89" s="1"/>
      <c r="B89" s="1"/>
      <c r="C89" s="1" t="str">
        <f>IF(ISBLANK(A89),"",VLOOKUP(A89,products!A:G,7,0))</f>
        <v/>
      </c>
      <c r="D89" s="1" t="str">
        <f t="shared" si="4"/>
        <v/>
      </c>
      <c r="E89" s="1" t="str">
        <f t="shared" si="5"/>
        <v/>
      </c>
      <c r="F89" s="1" t="str">
        <f>IF(ISBLANK(A89),"",CONCATENATE(VLOOKUP(A89,products!A:C,3,0)," ",LOWER(D89)))</f>
        <v/>
      </c>
      <c r="G89" s="1" t="str">
        <f>IF(ISBLANK(A89),"",CONCATENATE("&lt;ul&gt;&lt;li&gt;Model size:  ",VLOOKUP(A89,products!A:E,5,0),"&lt;/li&gt;&lt;li&gt;Model height:  ",VLOOKUP(A89,products!A:F,6,0)," cm&lt;/li&gt;&lt;li&gt;Colour:  ",D89,"&lt;/li&gt;&lt;li&gt;",VLOOKUP(A89,products!A:D,4,0),"&lt;/li&gt;&lt;/ul&gt;"))</f>
        <v/>
      </c>
      <c r="H89" s="1" t="str">
        <f t="shared" si="6"/>
        <v/>
      </c>
      <c r="I89" s="1" t="str">
        <f t="shared" si="7"/>
        <v/>
      </c>
      <c r="J89" s="1" t="str">
        <f>IF(ISBLANK(A89),"",VLOOKUP(A89,products!A:H,8,0))</f>
        <v/>
      </c>
      <c r="K89" s="1" t="str">
        <f>IF(ISBLANK(A89),"",VLOOKUP(A89,products!A:I,9,0))</f>
        <v/>
      </c>
      <c r="L89" s="1" t="str">
        <f>IF(ISBLANK(A89),"",VLOOKUP(A89,products!A:J,10,0))</f>
        <v/>
      </c>
      <c r="M89" s="9"/>
      <c r="N89" s="10"/>
      <c r="O89" s="1"/>
      <c r="P89" s="10"/>
    </row>
    <row r="90" spans="1:16" x14ac:dyDescent="0.2">
      <c r="A90" s="1"/>
      <c r="B90" s="1"/>
      <c r="C90" s="1" t="str">
        <f>IF(ISBLANK(A90),"",VLOOKUP(A90,products!A:G,7,0))</f>
        <v/>
      </c>
      <c r="D90" s="1" t="str">
        <f t="shared" si="4"/>
        <v/>
      </c>
      <c r="E90" s="1" t="str">
        <f t="shared" si="5"/>
        <v/>
      </c>
      <c r="F90" s="1" t="str">
        <f>IF(ISBLANK(A90),"",CONCATENATE(VLOOKUP(A90,products!A:C,3,0)," ",LOWER(D90)))</f>
        <v/>
      </c>
      <c r="G90" s="1" t="str">
        <f>IF(ISBLANK(A90),"",CONCATENATE("&lt;ul&gt;&lt;li&gt;Model size:  ",VLOOKUP(A90,products!A:E,5,0),"&lt;/li&gt;&lt;li&gt;Model height:  ",VLOOKUP(A90,products!A:F,6,0)," cm&lt;/li&gt;&lt;li&gt;Colour:  ",D90,"&lt;/li&gt;&lt;li&gt;",VLOOKUP(A90,products!A:D,4,0),"&lt;/li&gt;&lt;/ul&gt;"))</f>
        <v/>
      </c>
      <c r="H90" s="1" t="str">
        <f t="shared" si="6"/>
        <v/>
      </c>
      <c r="I90" s="1" t="str">
        <f t="shared" si="7"/>
        <v/>
      </c>
      <c r="J90" s="1" t="str">
        <f>IF(ISBLANK(A90),"",VLOOKUP(A90,products!A:H,8,0))</f>
        <v/>
      </c>
      <c r="K90" s="1" t="str">
        <f>IF(ISBLANK(A90),"",VLOOKUP(A90,products!A:I,9,0))</f>
        <v/>
      </c>
      <c r="L90" s="1" t="str">
        <f>IF(ISBLANK(A90),"",VLOOKUP(A90,products!A:J,10,0))</f>
        <v/>
      </c>
      <c r="M90" s="9"/>
      <c r="N90" s="10"/>
      <c r="O90" s="1"/>
      <c r="P90" s="10"/>
    </row>
    <row r="91" spans="1:16" x14ac:dyDescent="0.2">
      <c r="A91" s="1"/>
      <c r="B91" s="1"/>
      <c r="C91" s="1" t="str">
        <f>IF(ISBLANK(A91),"",VLOOKUP(A91,products!A:G,7,0))</f>
        <v/>
      </c>
      <c r="D91" s="1" t="str">
        <f t="shared" si="4"/>
        <v/>
      </c>
      <c r="E91" s="1" t="str">
        <f t="shared" si="5"/>
        <v/>
      </c>
      <c r="F91" s="1" t="str">
        <f>IF(ISBLANK(A91),"",CONCATENATE(VLOOKUP(A91,products!A:C,3,0)," ",LOWER(D91)))</f>
        <v/>
      </c>
      <c r="G91" s="1" t="str">
        <f>IF(ISBLANK(A91),"",CONCATENATE("&lt;ul&gt;&lt;li&gt;Model size:  ",VLOOKUP(A91,products!A:E,5,0),"&lt;/li&gt;&lt;li&gt;Model height:  ",VLOOKUP(A91,products!A:F,6,0)," cm&lt;/li&gt;&lt;li&gt;Colour:  ",D91,"&lt;/li&gt;&lt;li&gt;",VLOOKUP(A91,products!A:D,4,0),"&lt;/li&gt;&lt;/ul&gt;"))</f>
        <v/>
      </c>
      <c r="H91" s="1" t="str">
        <f t="shared" si="6"/>
        <v/>
      </c>
      <c r="I91" s="1" t="str">
        <f t="shared" si="7"/>
        <v/>
      </c>
      <c r="J91" s="1" t="str">
        <f>IF(ISBLANK(A91),"",VLOOKUP(A91,products!A:H,8,0))</f>
        <v/>
      </c>
      <c r="K91" s="1" t="str">
        <f>IF(ISBLANK(A91),"",VLOOKUP(A91,products!A:I,9,0))</f>
        <v/>
      </c>
      <c r="L91" s="1" t="str">
        <f>IF(ISBLANK(A91),"",VLOOKUP(A91,products!A:J,10,0))</f>
        <v/>
      </c>
      <c r="M91" s="9"/>
      <c r="N91" s="10"/>
      <c r="O91" s="1"/>
      <c r="P91" s="10"/>
    </row>
    <row r="92" spans="1:16" x14ac:dyDescent="0.2">
      <c r="A92" s="1"/>
      <c r="B92" s="1"/>
      <c r="C92" s="1" t="str">
        <f>IF(ISBLANK(A92),"",VLOOKUP(A92,products!A:G,7,0))</f>
        <v/>
      </c>
      <c r="D92" s="1" t="str">
        <f t="shared" si="4"/>
        <v/>
      </c>
      <c r="E92" s="1" t="str">
        <f t="shared" si="5"/>
        <v/>
      </c>
      <c r="F92" s="1" t="str">
        <f>IF(ISBLANK(A92),"",CONCATENATE(VLOOKUP(A92,products!A:C,3,0)," ",LOWER(D92)))</f>
        <v/>
      </c>
      <c r="G92" s="1" t="str">
        <f>IF(ISBLANK(A92),"",CONCATENATE("&lt;ul&gt;&lt;li&gt;Model size:  ",VLOOKUP(A92,products!A:E,5,0),"&lt;/li&gt;&lt;li&gt;Model height:  ",VLOOKUP(A92,products!A:F,6,0)," cm&lt;/li&gt;&lt;li&gt;Colour:  ",D92,"&lt;/li&gt;&lt;li&gt;",VLOOKUP(A92,products!A:D,4,0),"&lt;/li&gt;&lt;/ul&gt;"))</f>
        <v/>
      </c>
      <c r="H92" s="1" t="str">
        <f t="shared" si="6"/>
        <v/>
      </c>
      <c r="I92" s="1" t="str">
        <f t="shared" si="7"/>
        <v/>
      </c>
      <c r="J92" s="1" t="str">
        <f>IF(ISBLANK(A92),"",VLOOKUP(A92,products!A:H,8,0))</f>
        <v/>
      </c>
      <c r="K92" s="1" t="str">
        <f>IF(ISBLANK(A92),"",VLOOKUP(A92,products!A:I,9,0))</f>
        <v/>
      </c>
      <c r="L92" s="1" t="str">
        <f>IF(ISBLANK(A92),"",VLOOKUP(A92,products!A:J,10,0))</f>
        <v/>
      </c>
      <c r="M92" s="9"/>
      <c r="N92" s="10"/>
      <c r="O92" s="1"/>
      <c r="P92" s="10"/>
    </row>
    <row r="93" spans="1:16" x14ac:dyDescent="0.2">
      <c r="A93" s="1"/>
      <c r="B93" s="1"/>
      <c r="C93" s="1" t="str">
        <f>IF(ISBLANK(A93),"",VLOOKUP(A93,products!A:G,7,0))</f>
        <v/>
      </c>
      <c r="D93" s="1" t="str">
        <f t="shared" si="4"/>
        <v/>
      </c>
      <c r="E93" s="1" t="str">
        <f t="shared" si="5"/>
        <v/>
      </c>
      <c r="F93" s="1" t="str">
        <f>IF(ISBLANK(A93),"",CONCATENATE(VLOOKUP(A93,products!A:C,3,0)," ",LOWER(D93)))</f>
        <v/>
      </c>
      <c r="G93" s="1" t="str">
        <f>IF(ISBLANK(A93),"",CONCATENATE("&lt;ul&gt;&lt;li&gt;Model size:  ",VLOOKUP(A93,products!A:E,5,0),"&lt;/li&gt;&lt;li&gt;Model height:  ",VLOOKUP(A93,products!A:F,6,0)," cm&lt;/li&gt;&lt;li&gt;Colour:  ",D93,"&lt;/li&gt;&lt;li&gt;",VLOOKUP(A93,products!A:D,4,0),"&lt;/li&gt;&lt;/ul&gt;"))</f>
        <v/>
      </c>
      <c r="H93" s="1" t="str">
        <f t="shared" si="6"/>
        <v/>
      </c>
      <c r="I93" s="1" t="str">
        <f t="shared" si="7"/>
        <v/>
      </c>
      <c r="J93" s="1" t="str">
        <f>IF(ISBLANK(A93),"",VLOOKUP(A93,products!A:H,8,0))</f>
        <v/>
      </c>
      <c r="K93" s="1" t="str">
        <f>IF(ISBLANK(A93),"",VLOOKUP(A93,products!A:I,9,0))</f>
        <v/>
      </c>
      <c r="L93" s="1" t="str">
        <f>IF(ISBLANK(A93),"",VLOOKUP(A93,products!A:J,10,0))</f>
        <v/>
      </c>
      <c r="M93" s="9"/>
      <c r="N93" s="10"/>
      <c r="O93" s="1"/>
      <c r="P93" s="10"/>
    </row>
    <row r="94" spans="1:16" x14ac:dyDescent="0.2">
      <c r="A94" s="1"/>
      <c r="B94" s="1"/>
      <c r="C94" s="1" t="str">
        <f>IF(ISBLANK(A94),"",VLOOKUP(A94,products!A:G,7,0))</f>
        <v/>
      </c>
      <c r="D94" s="1" t="str">
        <f t="shared" si="4"/>
        <v/>
      </c>
      <c r="E94" s="1" t="str">
        <f t="shared" si="5"/>
        <v/>
      </c>
      <c r="F94" s="1" t="str">
        <f>IF(ISBLANK(A94),"",CONCATENATE(VLOOKUP(A94,products!A:C,3,0)," ",LOWER(D94)))</f>
        <v/>
      </c>
      <c r="G94" s="1" t="str">
        <f>IF(ISBLANK(A94),"",CONCATENATE("&lt;ul&gt;&lt;li&gt;Model size:  ",VLOOKUP(A94,products!A:E,5,0),"&lt;/li&gt;&lt;li&gt;Model height:  ",VLOOKUP(A94,products!A:F,6,0)," cm&lt;/li&gt;&lt;li&gt;Colour:  ",D94,"&lt;/li&gt;&lt;li&gt;",VLOOKUP(A94,products!A:D,4,0),"&lt;/li&gt;&lt;/ul&gt;"))</f>
        <v/>
      </c>
      <c r="H94" s="1" t="str">
        <f t="shared" si="6"/>
        <v/>
      </c>
      <c r="I94" s="1" t="str">
        <f t="shared" si="7"/>
        <v/>
      </c>
      <c r="J94" s="1" t="str">
        <f>IF(ISBLANK(A94),"",VLOOKUP(A94,products!A:H,8,0))</f>
        <v/>
      </c>
      <c r="K94" s="1" t="str">
        <f>IF(ISBLANK(A94),"",VLOOKUP(A94,products!A:I,9,0))</f>
        <v/>
      </c>
      <c r="L94" s="1" t="str">
        <f>IF(ISBLANK(A94),"",VLOOKUP(A94,products!A:J,10,0))</f>
        <v/>
      </c>
      <c r="M94" s="9"/>
      <c r="N94" s="10"/>
      <c r="O94" s="1"/>
      <c r="P94" s="10"/>
    </row>
    <row r="95" spans="1:16" x14ac:dyDescent="0.2">
      <c r="A95" s="1"/>
      <c r="B95" s="1"/>
      <c r="C95" s="1" t="str">
        <f>IF(ISBLANK(A95),"",VLOOKUP(A95,products!A:G,7,0))</f>
        <v/>
      </c>
      <c r="D95" s="1" t="str">
        <f t="shared" si="4"/>
        <v/>
      </c>
      <c r="E95" s="1" t="str">
        <f t="shared" si="5"/>
        <v/>
      </c>
      <c r="F95" s="1" t="str">
        <f>IF(ISBLANK(A95),"",CONCATENATE(VLOOKUP(A95,products!A:C,3,0)," ",LOWER(D95)))</f>
        <v/>
      </c>
      <c r="G95" s="1" t="str">
        <f>IF(ISBLANK(A95),"",CONCATENATE("&lt;ul&gt;&lt;li&gt;Model size:  ",VLOOKUP(A95,products!A:E,5,0),"&lt;/li&gt;&lt;li&gt;Model height:  ",VLOOKUP(A95,products!A:F,6,0)," cm&lt;/li&gt;&lt;li&gt;Colour:  ",D95,"&lt;/li&gt;&lt;li&gt;",VLOOKUP(A95,products!A:D,4,0),"&lt;/li&gt;&lt;/ul&gt;"))</f>
        <v/>
      </c>
      <c r="H95" s="1" t="str">
        <f t="shared" si="6"/>
        <v/>
      </c>
      <c r="I95" s="1" t="str">
        <f t="shared" si="7"/>
        <v/>
      </c>
      <c r="J95" s="1" t="str">
        <f>IF(ISBLANK(A95),"",VLOOKUP(A95,products!A:H,8,0))</f>
        <v/>
      </c>
      <c r="K95" s="1" t="str">
        <f>IF(ISBLANK(A95),"",VLOOKUP(A95,products!A:I,9,0))</f>
        <v/>
      </c>
      <c r="L95" s="1" t="str">
        <f>IF(ISBLANK(A95),"",VLOOKUP(A95,products!A:J,10,0))</f>
        <v/>
      </c>
      <c r="M95" s="9"/>
      <c r="N95" s="10"/>
      <c r="O95" s="1"/>
      <c r="P95" s="10"/>
    </row>
    <row r="96" spans="1:16" x14ac:dyDescent="0.2">
      <c r="A96" s="1"/>
      <c r="B96" s="1"/>
      <c r="C96" s="1" t="str">
        <f>IF(ISBLANK(A96),"",VLOOKUP(A96,products!A:G,7,0))</f>
        <v/>
      </c>
      <c r="D96" s="1" t="str">
        <f t="shared" si="4"/>
        <v/>
      </c>
      <c r="E96" s="1" t="str">
        <f t="shared" si="5"/>
        <v/>
      </c>
      <c r="F96" s="1" t="str">
        <f>IF(ISBLANK(A96),"",CONCATENATE(VLOOKUP(A96,products!A:C,3,0)," ",LOWER(D96)))</f>
        <v/>
      </c>
      <c r="G96" s="1" t="str">
        <f>IF(ISBLANK(A96),"",CONCATENATE("&lt;ul&gt;&lt;li&gt;Model size:  ",VLOOKUP(A96,products!A:E,5,0),"&lt;/li&gt;&lt;li&gt;Model height:  ",VLOOKUP(A96,products!A:F,6,0)," cm&lt;/li&gt;&lt;li&gt;Colour:  ",D96,"&lt;/li&gt;&lt;li&gt;",VLOOKUP(A96,products!A:D,4,0),"&lt;/li&gt;&lt;/ul&gt;"))</f>
        <v/>
      </c>
      <c r="H96" s="1" t="str">
        <f t="shared" si="6"/>
        <v/>
      </c>
      <c r="I96" s="1" t="str">
        <f t="shared" si="7"/>
        <v/>
      </c>
      <c r="J96" s="1" t="str">
        <f>IF(ISBLANK(A96),"",VLOOKUP(A96,products!A:H,8,0))</f>
        <v/>
      </c>
      <c r="K96" s="1" t="str">
        <f>IF(ISBLANK(A96),"",VLOOKUP(A96,products!A:I,9,0))</f>
        <v/>
      </c>
      <c r="L96" s="1" t="str">
        <f>IF(ISBLANK(A96),"",VLOOKUP(A96,products!A:J,10,0))</f>
        <v/>
      </c>
      <c r="M96" s="9"/>
      <c r="N96" s="10"/>
      <c r="O96" s="1"/>
      <c r="P96" s="10"/>
    </row>
    <row r="97" spans="1:16" x14ac:dyDescent="0.2">
      <c r="A97" s="1"/>
      <c r="B97" s="1"/>
      <c r="C97" s="1" t="str">
        <f>IF(ISBLANK(A97),"",VLOOKUP(A97,products!A:G,7,0))</f>
        <v/>
      </c>
      <c r="D97" s="1" t="str">
        <f t="shared" si="4"/>
        <v/>
      </c>
      <c r="E97" s="1" t="str">
        <f t="shared" si="5"/>
        <v/>
      </c>
      <c r="F97" s="1" t="str">
        <f>IF(ISBLANK(A97),"",CONCATENATE(VLOOKUP(A97,products!A:C,3,0)," ",LOWER(D97)))</f>
        <v/>
      </c>
      <c r="G97" s="1" t="str">
        <f>IF(ISBLANK(A97),"",CONCATENATE("&lt;ul&gt;&lt;li&gt;Model size:  ",VLOOKUP(A97,products!A:E,5,0),"&lt;/li&gt;&lt;li&gt;Model height:  ",VLOOKUP(A97,products!A:F,6,0)," cm&lt;/li&gt;&lt;li&gt;Colour:  ",D97,"&lt;/li&gt;&lt;li&gt;",VLOOKUP(A97,products!A:D,4,0),"&lt;/li&gt;&lt;/ul&gt;"))</f>
        <v/>
      </c>
      <c r="H97" s="1" t="str">
        <f t="shared" si="6"/>
        <v/>
      </c>
      <c r="I97" s="1" t="str">
        <f t="shared" si="7"/>
        <v/>
      </c>
      <c r="J97" s="1" t="str">
        <f>IF(ISBLANK(A97),"",VLOOKUP(A97,products!A:H,8,0))</f>
        <v/>
      </c>
      <c r="K97" s="1" t="str">
        <f>IF(ISBLANK(A97),"",VLOOKUP(A97,products!A:I,9,0))</f>
        <v/>
      </c>
      <c r="L97" s="1" t="str">
        <f>IF(ISBLANK(A97),"",VLOOKUP(A97,products!A:J,10,0))</f>
        <v/>
      </c>
      <c r="M97" s="9"/>
      <c r="N97" s="10"/>
      <c r="O97" s="1"/>
      <c r="P97" s="10"/>
    </row>
    <row r="98" spans="1:16" x14ac:dyDescent="0.2">
      <c r="A98" s="1"/>
      <c r="B98" s="1"/>
      <c r="C98" s="1" t="str">
        <f>IF(ISBLANK(A98),"",VLOOKUP(A98,products!A:G,7,0))</f>
        <v/>
      </c>
      <c r="D98" s="1" t="str">
        <f t="shared" si="4"/>
        <v/>
      </c>
      <c r="E98" s="1" t="str">
        <f t="shared" si="5"/>
        <v/>
      </c>
      <c r="F98" s="1" t="str">
        <f>IF(ISBLANK(A98),"",CONCATENATE(VLOOKUP(A98,products!A:C,3,0)," ",LOWER(D98)))</f>
        <v/>
      </c>
      <c r="G98" s="1" t="str">
        <f>IF(ISBLANK(A98),"",CONCATENATE("&lt;ul&gt;&lt;li&gt;Model size:  ",VLOOKUP(A98,products!A:E,5,0),"&lt;/li&gt;&lt;li&gt;Model height:  ",VLOOKUP(A98,products!A:F,6,0)," cm&lt;/li&gt;&lt;li&gt;Colour:  ",D98,"&lt;/li&gt;&lt;li&gt;",VLOOKUP(A98,products!A:D,4,0),"&lt;/li&gt;&lt;/ul&gt;"))</f>
        <v/>
      </c>
      <c r="H98" s="1" t="str">
        <f t="shared" si="6"/>
        <v/>
      </c>
      <c r="I98" s="1" t="str">
        <f t="shared" si="7"/>
        <v/>
      </c>
      <c r="J98" s="1" t="str">
        <f>IF(ISBLANK(A98),"",VLOOKUP(A98,products!A:H,8,0))</f>
        <v/>
      </c>
      <c r="K98" s="1" t="str">
        <f>IF(ISBLANK(A98),"",VLOOKUP(A98,products!A:I,9,0))</f>
        <v/>
      </c>
      <c r="L98" s="1" t="str">
        <f>IF(ISBLANK(A98),"",VLOOKUP(A98,products!A:J,10,0))</f>
        <v/>
      </c>
      <c r="M98" s="9"/>
      <c r="N98" s="10"/>
      <c r="O98" s="1"/>
      <c r="P98" s="10"/>
    </row>
    <row r="99" spans="1:16" x14ac:dyDescent="0.2">
      <c r="A99" s="1"/>
      <c r="B99" s="1"/>
      <c r="C99" s="1" t="str">
        <f>IF(ISBLANK(A99),"",VLOOKUP(A99,products!A:G,7,0))</f>
        <v/>
      </c>
      <c r="D99" s="1" t="str">
        <f t="shared" si="4"/>
        <v/>
      </c>
      <c r="E99" s="1" t="str">
        <f t="shared" si="5"/>
        <v/>
      </c>
      <c r="F99" s="1" t="str">
        <f>IF(ISBLANK(A99),"",CONCATENATE(VLOOKUP(A99,products!A:C,3,0)," ",LOWER(D99)))</f>
        <v/>
      </c>
      <c r="G99" s="1" t="str">
        <f>IF(ISBLANK(A99),"",CONCATENATE("&lt;ul&gt;&lt;li&gt;Model size:  ",VLOOKUP(A99,products!A:E,5,0),"&lt;/li&gt;&lt;li&gt;Model height:  ",VLOOKUP(A99,products!A:F,6,0)," cm&lt;/li&gt;&lt;li&gt;Colour:  ",D99,"&lt;/li&gt;&lt;li&gt;",VLOOKUP(A99,products!A:D,4,0),"&lt;/li&gt;&lt;/ul&gt;"))</f>
        <v/>
      </c>
      <c r="H99" s="1" t="str">
        <f t="shared" si="6"/>
        <v/>
      </c>
      <c r="I99" s="1" t="str">
        <f t="shared" si="7"/>
        <v/>
      </c>
      <c r="J99" s="1" t="str">
        <f>IF(ISBLANK(A99),"",VLOOKUP(A99,products!A:H,8,0))</f>
        <v/>
      </c>
      <c r="K99" s="1" t="str">
        <f>IF(ISBLANK(A99),"",VLOOKUP(A99,products!A:I,9,0))</f>
        <v/>
      </c>
      <c r="L99" s="1" t="str">
        <f>IF(ISBLANK(A99),"",VLOOKUP(A99,products!A:J,10,0))</f>
        <v/>
      </c>
      <c r="M99" s="9"/>
      <c r="N99" s="10"/>
      <c r="O99" s="1"/>
      <c r="P99" s="10"/>
    </row>
    <row r="100" spans="1:16" x14ac:dyDescent="0.2">
      <c r="A100" s="1"/>
      <c r="B100" s="1"/>
      <c r="C100" s="1" t="str">
        <f>IF(ISBLANK(A100),"",VLOOKUP(A100,products!A:G,7,0))</f>
        <v/>
      </c>
      <c r="D100" s="1" t="str">
        <f t="shared" si="4"/>
        <v/>
      </c>
      <c r="E100" s="1" t="str">
        <f t="shared" si="5"/>
        <v/>
      </c>
      <c r="F100" s="1" t="str">
        <f>IF(ISBLANK(A100),"",CONCATENATE(VLOOKUP(A100,products!A:C,3,0)," ",LOWER(D100)))</f>
        <v/>
      </c>
      <c r="G100" s="1" t="str">
        <f>IF(ISBLANK(A100),"",CONCATENATE("&lt;ul&gt;&lt;li&gt;Model size:  ",VLOOKUP(A100,products!A:E,5,0),"&lt;/li&gt;&lt;li&gt;Model height:  ",VLOOKUP(A100,products!A:F,6,0)," cm&lt;/li&gt;&lt;li&gt;Colour:  ",D100,"&lt;/li&gt;&lt;li&gt;",VLOOKUP(A100,products!A:D,4,0),"&lt;/li&gt;&lt;/ul&gt;"))</f>
        <v/>
      </c>
      <c r="H100" s="1" t="str">
        <f t="shared" si="6"/>
        <v/>
      </c>
      <c r="I100" s="1" t="str">
        <f t="shared" si="7"/>
        <v/>
      </c>
      <c r="J100" s="1" t="str">
        <f>IF(ISBLANK(A100),"",VLOOKUP(A100,products!A:H,8,0))</f>
        <v/>
      </c>
      <c r="K100" s="1" t="str">
        <f>IF(ISBLANK(A100),"",VLOOKUP(A100,products!A:I,9,0))</f>
        <v/>
      </c>
      <c r="L100" s="1" t="str">
        <f>IF(ISBLANK(A100),"",VLOOKUP(A100,products!A:J,10,0))</f>
        <v/>
      </c>
      <c r="M100" s="9"/>
      <c r="N100" s="10"/>
      <c r="O100" s="1"/>
      <c r="P100" s="10"/>
    </row>
    <row r="101" spans="1:16" x14ac:dyDescent="0.2">
      <c r="A101" s="1"/>
      <c r="B101" s="1"/>
      <c r="C101" s="1" t="str">
        <f>IF(ISBLANK(A101),"",VLOOKUP(A101,products!A:G,7,0))</f>
        <v/>
      </c>
      <c r="D101" s="1" t="str">
        <f t="shared" si="4"/>
        <v/>
      </c>
      <c r="E101" s="1" t="str">
        <f t="shared" si="5"/>
        <v/>
      </c>
      <c r="F101" s="1" t="str">
        <f>IF(ISBLANK(A101),"",CONCATENATE(VLOOKUP(A101,products!A:C,3,0)," ",LOWER(D101)))</f>
        <v/>
      </c>
      <c r="G101" s="1" t="str">
        <f>IF(ISBLANK(A101),"",CONCATENATE("&lt;ul&gt;&lt;li&gt;Model size:  ",VLOOKUP(A101,products!A:E,5,0),"&lt;/li&gt;&lt;li&gt;Model height:  ",VLOOKUP(A101,products!A:F,6,0)," cm&lt;/li&gt;&lt;li&gt;Colour:  ",D101,"&lt;/li&gt;&lt;li&gt;",VLOOKUP(A101,products!A:D,4,0),"&lt;/li&gt;&lt;/ul&gt;"))</f>
        <v/>
      </c>
      <c r="H101" s="1" t="str">
        <f t="shared" si="6"/>
        <v/>
      </c>
      <c r="I101" s="1" t="str">
        <f t="shared" si="7"/>
        <v/>
      </c>
      <c r="J101" s="1" t="str">
        <f>IF(ISBLANK(A101),"",VLOOKUP(A101,products!A:H,8,0))</f>
        <v/>
      </c>
      <c r="K101" s="1" t="str">
        <f>IF(ISBLANK(A101),"",VLOOKUP(A101,products!A:I,9,0))</f>
        <v/>
      </c>
      <c r="L101" s="1" t="str">
        <f>IF(ISBLANK(A101),"",VLOOKUP(A101,products!A:J,10,0))</f>
        <v/>
      </c>
      <c r="M101" s="9"/>
      <c r="N101" s="10"/>
      <c r="O101" s="1"/>
      <c r="P101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47C9-3BBF-7947-A9DA-8C3AEC6DA3F6}">
  <sheetPr codeName="Sayfa3"/>
  <dimension ref="A1:R101"/>
  <sheetViews>
    <sheetView workbookViewId="0"/>
  </sheetViews>
  <sheetFormatPr baseColWidth="10" defaultRowHeight="16" x14ac:dyDescent="0.2"/>
  <cols>
    <col min="1" max="1" width="10.83203125" style="1"/>
    <col min="2" max="2" width="11.83203125" style="1" bestFit="1" customWidth="1"/>
    <col min="3" max="3" width="42.83203125" style="1" bestFit="1" customWidth="1"/>
    <col min="4" max="4" width="45.1640625" style="1" customWidth="1"/>
    <col min="5" max="16384" width="10.83203125" style="1"/>
  </cols>
  <sheetData>
    <row r="1" spans="1:18" s="2" customFormat="1" x14ac:dyDescent="0.2">
      <c r="A1" s="2" t="s">
        <v>155</v>
      </c>
      <c r="B1" s="2" t="s">
        <v>0</v>
      </c>
      <c r="C1" s="2" t="s">
        <v>2</v>
      </c>
      <c r="D1" s="2" t="s">
        <v>3</v>
      </c>
      <c r="E1" s="2" t="s">
        <v>24</v>
      </c>
      <c r="F1" s="2" t="s">
        <v>25</v>
      </c>
      <c r="G1" s="2" t="s">
        <v>156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" t="s">
        <v>166</v>
      </c>
      <c r="R1" s="2" t="s">
        <v>167</v>
      </c>
    </row>
    <row r="2" spans="1:18" x14ac:dyDescent="0.2">
      <c r="A2" s="1" t="str">
        <f>IF(ISBLANK(formules!A2),"","variable")</f>
        <v>variable</v>
      </c>
      <c r="B2" s="1" t="str">
        <f>IF(ISBLANK(formules!A2),"",formules!E2)</f>
        <v>3243314-712</v>
      </c>
      <c r="C2" s="1" t="str">
        <f>IF(ISBLANK(formules!A2),"",formules!F2)</f>
        <v>Rustic gathered top ecru</v>
      </c>
      <c r="D2" s="1" t="str">
        <f>IF(ISBLANK(formules!A2),"",formules!G2)</f>
        <v>&lt;ul&gt;&lt;li&gt;Model size:  S&lt;/li&gt;&lt;li&gt;Model height:  177 cm&lt;/li&gt;&lt;li&gt;Colour:  Ecru&lt;/li&gt;&lt;li&gt;Rustic sleeveless crepe T-shirt with gathered detail on the side and a crew neck. Made of stretch fabric.&lt;/li&gt;&lt;/ul&gt;</v>
      </c>
      <c r="E2" s="1" t="str">
        <f>IF(ISBLANK(formules!A2),"",formules!H2)</f>
        <v>T-shirts &gt; T-shirt, T-shirts</v>
      </c>
      <c r="F2" s="1" t="str">
        <f>IF(ISBLANK(formules!A2),"",formules!I2)</f>
        <v>https://host.zackha.com/images-nuxtcommerce/3243314-712-1.jpg, https://host.zackha.com/images-nuxtcommerce/3243314-712-2.jpg, https://host.zackha.com/images-nuxtcommerce/3243314-712-3.jpg, https://host.zackha.com/images-nuxtcommerce/3243314-712-4.jpg, https://host.zackha.com/images-nuxtcommerce/3243314-712-5.jpg, https://host.zackha.com/images-nuxtcommerce/3243314-712-6.jpg</v>
      </c>
      <c r="G2" s="1" t="str">
        <f>IF(ISBLANK(formules!A2),"","Color")</f>
        <v>Color</v>
      </c>
      <c r="H2" s="1" t="str">
        <f>IF(ISBLANK(formules!A2),"",formules!D2)</f>
        <v>Ecru</v>
      </c>
      <c r="I2" s="1">
        <f>IF(ISBLANK(formules!A2),"",1)</f>
        <v>1</v>
      </c>
      <c r="J2" s="1">
        <f>IF(ISBLANK(formules!A2),"",1)</f>
        <v>1</v>
      </c>
      <c r="K2" s="1" t="str">
        <f>IF(ISBLANK(formules!A2),"","Size")</f>
        <v>Size</v>
      </c>
      <c r="L2" s="1" t="str">
        <f>IF(ISBLANK(formules!A2),"",formules!J2)</f>
        <v>XS, S, M, L, XL</v>
      </c>
      <c r="M2" s="1">
        <f>IF(ISBLANK(formules!A2),"",1)</f>
        <v>1</v>
      </c>
      <c r="N2" s="1">
        <f>IF(ISBLANK(formules!A2),"",1)</f>
        <v>1</v>
      </c>
      <c r="O2" s="1" t="str">
        <f>IF(ISBLANK(formules!A2),"","Style")</f>
        <v>Style</v>
      </c>
      <c r="P2" s="1" t="str">
        <f>IF(ISBLANK(formules!A2),"",formules!C2)</f>
        <v>T-Shirt</v>
      </c>
      <c r="Q2" s="1">
        <f>IF(ISBLANK(formules!A2),"",1)</f>
        <v>1</v>
      </c>
      <c r="R2" s="1">
        <f>IF(ISBLANK(formules!A2),"",1)</f>
        <v>1</v>
      </c>
    </row>
    <row r="3" spans="1:18" x14ac:dyDescent="0.2">
      <c r="A3" s="1" t="str">
        <f>IF(ISBLANK(formules!A3),"","variable")</f>
        <v>variable</v>
      </c>
      <c r="B3" s="1" t="str">
        <f>IF(ISBLANK(formules!A3),"",formules!E3)</f>
        <v>3243314-450</v>
      </c>
      <c r="C3" s="1" t="str">
        <f>IF(ISBLANK(formules!A3),"",formules!F3)</f>
        <v>Rustic gathered top beige</v>
      </c>
      <c r="D3" s="1" t="str">
        <f>IF(ISBLANK(formules!A3),"",formules!G3)</f>
        <v>&lt;ul&gt;&lt;li&gt;Model size:  S&lt;/li&gt;&lt;li&gt;Model height:  177 cm&lt;/li&gt;&lt;li&gt;Colour:  Beige&lt;/li&gt;&lt;li&gt;Rustic sleeveless crepe T-shirt with gathered detail on the side and a crew neck. Made of stretch fabric.&lt;/li&gt;&lt;/ul&gt;</v>
      </c>
      <c r="E3" s="1" t="str">
        <f>IF(ISBLANK(formules!A3),"",formules!H3)</f>
        <v>T-shirts &gt; T-shirt, T-shirts</v>
      </c>
      <c r="F3" s="1" t="str">
        <f>IF(ISBLANK(formules!A3),"",formules!I3)</f>
        <v>https://host.zackha.com/images-nuxtcommerce/3243314-450-1.jpg, https://host.zackha.com/images-nuxtcommerce/3243314-450-2.jpg, https://host.zackha.com/images-nuxtcommerce/3243314-450-3.jpg, https://host.zackha.com/images-nuxtcommerce/3243314-450-4.jpg, https://host.zackha.com/images-nuxtcommerce/3243314-450-5.jpg, https://host.zackha.com/images-nuxtcommerce/3243314-450-6.jpg</v>
      </c>
      <c r="G3" s="1" t="str">
        <f>IF(ISBLANK(formules!A3),"","Color")</f>
        <v>Color</v>
      </c>
      <c r="H3" s="1" t="str">
        <f>IF(ISBLANK(formules!A3),"",formules!D3)</f>
        <v>Beige</v>
      </c>
      <c r="I3" s="1">
        <f>IF(ISBLANK(formules!A3),"",1)</f>
        <v>1</v>
      </c>
      <c r="J3" s="1">
        <f>IF(ISBLANK(formules!A3),"",1)</f>
        <v>1</v>
      </c>
      <c r="K3" s="1" t="str">
        <f>IF(ISBLANK(formules!A3),"","Size")</f>
        <v>Size</v>
      </c>
      <c r="L3" s="1" t="str">
        <f>IF(ISBLANK(formules!A3),"",formules!J3)</f>
        <v>XS, S, M, L, XL</v>
      </c>
      <c r="M3" s="1">
        <f>IF(ISBLANK(formules!A3),"",1)</f>
        <v>1</v>
      </c>
      <c r="N3" s="1">
        <f>IF(ISBLANK(formules!A3),"",1)</f>
        <v>1</v>
      </c>
      <c r="O3" s="1" t="str">
        <f>IF(ISBLANK(formules!A3),"","Style")</f>
        <v>Style</v>
      </c>
      <c r="P3" s="1" t="str">
        <f>IF(ISBLANK(formules!A3),"",formules!C3)</f>
        <v>T-Shirt</v>
      </c>
      <c r="Q3" s="1">
        <f>IF(ISBLANK(formules!A3),"",1)</f>
        <v>1</v>
      </c>
      <c r="R3" s="1">
        <f>IF(ISBLANK(formules!A3),"",1)</f>
        <v>1</v>
      </c>
    </row>
    <row r="4" spans="1:18" x14ac:dyDescent="0.2">
      <c r="A4" s="1" t="str">
        <f>IF(ISBLANK(formules!A4),"","variable")</f>
        <v>variable</v>
      </c>
      <c r="B4" s="1" t="str">
        <f>IF(ISBLANK(formules!A4),"",formules!E4)</f>
        <v>3243314-505</v>
      </c>
      <c r="C4" s="1" t="str">
        <f>IF(ISBLANK(formules!A4),"",formules!F4)</f>
        <v>Rustic gathered top khaki</v>
      </c>
      <c r="D4" s="1" t="str">
        <f>IF(ISBLANK(formules!A4),"",formules!G4)</f>
        <v>&lt;ul&gt;&lt;li&gt;Model size:  S&lt;/li&gt;&lt;li&gt;Model height:  177 cm&lt;/li&gt;&lt;li&gt;Colour:  Khaki&lt;/li&gt;&lt;li&gt;Rustic sleeveless crepe T-shirt with gathered detail on the side and a crew neck. Made of stretch fabric.&lt;/li&gt;&lt;/ul&gt;</v>
      </c>
      <c r="E4" s="1" t="str">
        <f>IF(ISBLANK(formules!A4),"",formules!H4)</f>
        <v>T-shirts &gt; T-shirt, T-shirts</v>
      </c>
      <c r="F4" s="1" t="str">
        <f>IF(ISBLANK(formules!A4),"",formules!I4)</f>
        <v>https://host.zackha.com/images-nuxtcommerce/3243314-505-1.jpg, https://host.zackha.com/images-nuxtcommerce/3243314-505-2.jpg, https://host.zackha.com/images-nuxtcommerce/3243314-505-3.jpg, https://host.zackha.com/images-nuxtcommerce/3243314-505-4.jpg, https://host.zackha.com/images-nuxtcommerce/3243314-505-5.jpg, https://host.zackha.com/images-nuxtcommerce/3243314-505-6.jpg</v>
      </c>
      <c r="G4" s="1" t="str">
        <f>IF(ISBLANK(formules!A4),"","Color")</f>
        <v>Color</v>
      </c>
      <c r="H4" s="1" t="str">
        <f>IF(ISBLANK(formules!A4),"",formules!D4)</f>
        <v>Khaki</v>
      </c>
      <c r="I4" s="1">
        <f>IF(ISBLANK(formules!A4),"",1)</f>
        <v>1</v>
      </c>
      <c r="J4" s="1">
        <f>IF(ISBLANK(formules!A4),"",1)</f>
        <v>1</v>
      </c>
      <c r="K4" s="1" t="str">
        <f>IF(ISBLANK(formules!A4),"","Size")</f>
        <v>Size</v>
      </c>
      <c r="L4" s="1" t="str">
        <f>IF(ISBLANK(formules!A4),"",formules!J4)</f>
        <v>XS, S, M, L, XL</v>
      </c>
      <c r="M4" s="1">
        <f>IF(ISBLANK(formules!A4),"",1)</f>
        <v>1</v>
      </c>
      <c r="N4" s="1">
        <f>IF(ISBLANK(formules!A4),"",1)</f>
        <v>1</v>
      </c>
      <c r="O4" s="1" t="str">
        <f>IF(ISBLANK(formules!A4),"","Style")</f>
        <v>Style</v>
      </c>
      <c r="P4" s="1" t="str">
        <f>IF(ISBLANK(formules!A4),"",formules!C4)</f>
        <v>T-Shirt</v>
      </c>
      <c r="Q4" s="1">
        <f>IF(ISBLANK(formules!A4),"",1)</f>
        <v>1</v>
      </c>
      <c r="R4" s="1">
        <f>IF(ISBLANK(formules!A4),"",1)</f>
        <v>1</v>
      </c>
    </row>
    <row r="5" spans="1:18" x14ac:dyDescent="0.2">
      <c r="A5" s="1" t="str">
        <f>IF(ISBLANK(formules!A5),"","variable")</f>
        <v>variable</v>
      </c>
      <c r="B5" s="1" t="str">
        <f>IF(ISBLANK(formules!A5),"",formules!E5)</f>
        <v>3470353-527</v>
      </c>
      <c r="C5" s="1" t="str">
        <f>IF(ISBLANK(formules!A5),"",formules!F5)</f>
        <v>Rustic crossed blouse medium green</v>
      </c>
      <c r="D5" s="1" t="str">
        <f>IF(ISBLANK(formules!A5),"",formules!G5)</f>
        <v>&lt;ul&gt;&lt;li&gt;Model size:  S&lt;/li&gt;&lt;li&gt;Model height:  175 cm&lt;/li&gt;&lt;li&gt;Colour:  Medium Green&lt;/li&gt;&lt;li&gt;Rustic crossed blouse with button fastening and long sleeves. Made of cotton.&lt;/li&gt;&lt;/ul&gt;</v>
      </c>
      <c r="E5" s="1" t="str">
        <f>IF(ISBLANK(formules!A5),"",formules!H5)</f>
        <v>Blouses &amp; Shirts &gt; Shirts, Blouses &amp; Shirts</v>
      </c>
      <c r="F5" s="1" t="str">
        <f>IF(ISBLANK(formules!A5),"",formules!I5)</f>
        <v>https://host.zackha.com/images-nuxtcommerce/3470353-527-1.jpg, https://host.zackha.com/images-nuxtcommerce/3470353-527-2.jpg, https://host.zackha.com/images-nuxtcommerce/3470353-527-3.jpg, https://host.zackha.com/images-nuxtcommerce/3470353-527-4.jpg, https://host.zackha.com/images-nuxtcommerce/3470353-527-5.jpg, https://host.zackha.com/images-nuxtcommerce/3470353-527-6.jpg</v>
      </c>
      <c r="G5" s="1" t="str">
        <f>IF(ISBLANK(formules!A5),"","Color")</f>
        <v>Color</v>
      </c>
      <c r="H5" s="1" t="str">
        <f>IF(ISBLANK(formules!A5),"",formules!D5)</f>
        <v>Medium Green</v>
      </c>
      <c r="I5" s="1">
        <f>IF(ISBLANK(formules!A5),"",1)</f>
        <v>1</v>
      </c>
      <c r="J5" s="1">
        <f>IF(ISBLANK(formules!A5),"",1)</f>
        <v>1</v>
      </c>
      <c r="K5" s="1" t="str">
        <f>IF(ISBLANK(formules!A5),"","Size")</f>
        <v>Size</v>
      </c>
      <c r="L5" s="1" t="str">
        <f>IF(ISBLANK(formules!A5),"",formules!J5)</f>
        <v>XS, S, M, L, XL</v>
      </c>
      <c r="M5" s="1">
        <f>IF(ISBLANK(formules!A5),"",1)</f>
        <v>1</v>
      </c>
      <c r="N5" s="1">
        <f>IF(ISBLANK(formules!A5),"",1)</f>
        <v>1</v>
      </c>
      <c r="O5" s="1" t="str">
        <f>IF(ISBLANK(formules!A5),"","Style")</f>
        <v>Style</v>
      </c>
      <c r="P5" s="1" t="str">
        <f>IF(ISBLANK(formules!A5),"",formules!C5)</f>
        <v>Shirt</v>
      </c>
      <c r="Q5" s="1">
        <f>IF(ISBLANK(formules!A5),"",1)</f>
        <v>1</v>
      </c>
      <c r="R5" s="1">
        <f>IF(ISBLANK(formules!A5),"",1)</f>
        <v>1</v>
      </c>
    </row>
    <row r="6" spans="1:18" x14ac:dyDescent="0.2">
      <c r="A6" s="1" t="str">
        <f>IF(ISBLANK(formules!A6),"","variable")</f>
        <v>variable</v>
      </c>
      <c r="B6" s="1" t="str">
        <f>IF(ISBLANK(formules!A6),"",formules!E6)</f>
        <v>3590311-681</v>
      </c>
      <c r="C6" s="1" t="str">
        <f>IF(ISBLANK(formules!A6),"",formules!F6)</f>
        <v>Chicago hoodie burgundy</v>
      </c>
      <c r="D6" s="1" t="str">
        <f>IF(ISBLANK(formules!A6),"",formules!G6)</f>
        <v>&lt;ul&gt;&lt;li&gt;Model size:  S&lt;/li&gt;&lt;li&gt;Model height:  175 cm&lt;/li&gt;&lt;li&gt;Colour:  Burgundy&lt;/li&gt;&lt;li&gt;Hoodie with adjustable drawstrings, a pouch pocket and Chicago slogan print.&lt;/li&gt;&lt;/ul&gt;</v>
      </c>
      <c r="E6" s="1" t="str">
        <f>IF(ISBLANK(formules!A6),"",formules!H6)</f>
        <v>Sweatshirts &amp; Hoodies &gt; Hoodies, Sweatshirts &amp; Hoodies</v>
      </c>
      <c r="F6" s="1" t="str">
        <f>IF(ISBLANK(formules!A6),"",formules!I6)</f>
        <v>https://host.zackha.com/images-nuxtcommerce/3590311-681-1.jpg, https://host.zackha.com/images-nuxtcommerce/3590311-681-2.jpg, https://host.zackha.com/images-nuxtcommerce/3590311-681-3.jpg, https://host.zackha.com/images-nuxtcommerce/3590311-681-4.jpg, https://host.zackha.com/images-nuxtcommerce/3590311-681-5.jpg, https://host.zackha.com/images-nuxtcommerce/3590311-681-6.jpg</v>
      </c>
      <c r="G6" s="1" t="str">
        <f>IF(ISBLANK(formules!A6),"","Color")</f>
        <v>Color</v>
      </c>
      <c r="H6" s="1" t="str">
        <f>IF(ISBLANK(formules!A6),"",formules!D6)</f>
        <v>Burgundy</v>
      </c>
      <c r="I6" s="1">
        <f>IF(ISBLANK(formules!A6),"",1)</f>
        <v>1</v>
      </c>
      <c r="J6" s="1">
        <f>IF(ISBLANK(formules!A6),"",1)</f>
        <v>1</v>
      </c>
      <c r="K6" s="1" t="str">
        <f>IF(ISBLANK(formules!A6),"","Size")</f>
        <v>Size</v>
      </c>
      <c r="L6" s="1" t="str">
        <f>IF(ISBLANK(formules!A6),"",formules!J6)</f>
        <v>XS, S, M, L, XL</v>
      </c>
      <c r="M6" s="1">
        <f>IF(ISBLANK(formules!A6),"",1)</f>
        <v>1</v>
      </c>
      <c r="N6" s="1">
        <f>IF(ISBLANK(formules!A6),"",1)</f>
        <v>1</v>
      </c>
      <c r="O6" s="1" t="str">
        <f>IF(ISBLANK(formules!A6),"","Style")</f>
        <v>Style</v>
      </c>
      <c r="P6" s="1" t="str">
        <f>IF(ISBLANK(formules!A6),"",formules!C6)</f>
        <v>Hoodie</v>
      </c>
      <c r="Q6" s="1">
        <f>IF(ISBLANK(formules!A6),"",1)</f>
        <v>1</v>
      </c>
      <c r="R6" s="1">
        <f>IF(ISBLANK(formules!A6),"",1)</f>
        <v>1</v>
      </c>
    </row>
    <row r="7" spans="1:18" x14ac:dyDescent="0.2">
      <c r="A7" s="1" t="str">
        <f>IF(ISBLANK(formules!A7),"","variable")</f>
        <v>variable</v>
      </c>
      <c r="B7" s="1" t="str">
        <f>IF(ISBLANK(formules!A7),"",formules!E7)</f>
        <v>3678329-250</v>
      </c>
      <c r="C7" s="1" t="str">
        <f>IF(ISBLANK(formules!A7),"",formules!F7)</f>
        <v>Flowy pants with linen white</v>
      </c>
      <c r="D7" s="1" t="str">
        <f>IF(ISBLANK(formules!A7),"",formules!G7)</f>
        <v>&lt;ul&gt;&lt;li&gt;Model size:  S&lt;/li&gt;&lt;li&gt;Model height:  173 cm&lt;/li&gt;&lt;li&gt;Colour:  White&lt;/li&gt;&lt;li&gt;Flowing rustic pants with an elasticated waistband. Made from a viscose and linen blend.&lt;/li&gt;&lt;/ul&gt;</v>
      </c>
      <c r="E7" s="1" t="str">
        <f>IF(ISBLANK(formules!A7),"",formules!H7)</f>
        <v>Pants &gt; Pant, Pants</v>
      </c>
      <c r="F7" s="1" t="str">
        <f>IF(ISBLANK(formules!A7),"",formules!I7)</f>
        <v>https://host.zackha.com/images-nuxtcommerce/3678329-250-1.jpg, https://host.zackha.com/images-nuxtcommerce/3678329-250-2.jpg, https://host.zackha.com/images-nuxtcommerce/3678329-250-3.jpg, https://host.zackha.com/images-nuxtcommerce/3678329-250-4.jpg, https://host.zackha.com/images-nuxtcommerce/3678329-250-5.jpg, https://host.zackha.com/images-nuxtcommerce/3678329-250-6.jpg</v>
      </c>
      <c r="G7" s="1" t="str">
        <f>IF(ISBLANK(formules!A7),"","Color")</f>
        <v>Color</v>
      </c>
      <c r="H7" s="1" t="str">
        <f>IF(ISBLANK(formules!A7),"",formules!D7)</f>
        <v>White</v>
      </c>
      <c r="I7" s="1">
        <f>IF(ISBLANK(formules!A7),"",1)</f>
        <v>1</v>
      </c>
      <c r="J7" s="1">
        <f>IF(ISBLANK(formules!A7),"",1)</f>
        <v>1</v>
      </c>
      <c r="K7" s="1" t="str">
        <f>IF(ISBLANK(formules!A7),"","Size")</f>
        <v>Size</v>
      </c>
      <c r="L7" s="1" t="str">
        <f>IF(ISBLANK(formules!A7),"",formules!J7)</f>
        <v>XS, S, M, L, XL</v>
      </c>
      <c r="M7" s="1">
        <f>IF(ISBLANK(formules!A7),"",1)</f>
        <v>1</v>
      </c>
      <c r="N7" s="1">
        <f>IF(ISBLANK(formules!A7),"",1)</f>
        <v>1</v>
      </c>
      <c r="O7" s="1" t="str">
        <f>IF(ISBLANK(formules!A7),"","Style")</f>
        <v>Style</v>
      </c>
      <c r="P7" s="1" t="str">
        <f>IF(ISBLANK(formules!A7),"",formules!C7)</f>
        <v>Pant</v>
      </c>
      <c r="Q7" s="1">
        <f>IF(ISBLANK(formules!A7),"",1)</f>
        <v>1</v>
      </c>
      <c r="R7" s="1">
        <f>IF(ISBLANK(formules!A7),"",1)</f>
        <v>1</v>
      </c>
    </row>
    <row r="8" spans="1:18" x14ac:dyDescent="0.2">
      <c r="A8" s="1" t="str">
        <f>IF(ISBLANK(formules!A8),"","variable")</f>
        <v>variable</v>
      </c>
      <c r="B8" s="1" t="str">
        <f>IF(ISBLANK(formules!A8),"",formules!E8)</f>
        <v>3678329-800</v>
      </c>
      <c r="C8" s="1" t="str">
        <f>IF(ISBLANK(formules!A8),"",formules!F8)</f>
        <v>Flowy pants with linen black</v>
      </c>
      <c r="D8" s="1" t="str">
        <f>IF(ISBLANK(formules!A8),"",formules!G8)</f>
        <v>&lt;ul&gt;&lt;li&gt;Model size:  S&lt;/li&gt;&lt;li&gt;Model height:  173 cm&lt;/li&gt;&lt;li&gt;Colour:  Black&lt;/li&gt;&lt;li&gt;Flowing rustic pants with an elasticated waistband. Made from a viscose and linen blend.&lt;/li&gt;&lt;/ul&gt;</v>
      </c>
      <c r="E8" s="1" t="str">
        <f>IF(ISBLANK(formules!A8),"",formules!H8)</f>
        <v>Pants &gt; Pant, Pants</v>
      </c>
      <c r="F8" s="1" t="str">
        <f>IF(ISBLANK(formules!A8),"",formules!I8)</f>
        <v>https://host.zackha.com/images-nuxtcommerce/3678329-800-1.jpg, https://host.zackha.com/images-nuxtcommerce/3678329-800-2.jpg, https://host.zackha.com/images-nuxtcommerce/3678329-800-3.jpg, https://host.zackha.com/images-nuxtcommerce/3678329-800-4.jpg, https://host.zackha.com/images-nuxtcommerce/3678329-800-5.jpg, https://host.zackha.com/images-nuxtcommerce/3678329-800-6.jpg</v>
      </c>
      <c r="G8" s="1" t="str">
        <f>IF(ISBLANK(formules!A8),"","Color")</f>
        <v>Color</v>
      </c>
      <c r="H8" s="1" t="str">
        <f>IF(ISBLANK(formules!A8),"",formules!D8)</f>
        <v>Black</v>
      </c>
      <c r="I8" s="1">
        <f>IF(ISBLANK(formules!A8),"",1)</f>
        <v>1</v>
      </c>
      <c r="J8" s="1">
        <f>IF(ISBLANK(formules!A8),"",1)</f>
        <v>1</v>
      </c>
      <c r="K8" s="1" t="str">
        <f>IF(ISBLANK(formules!A8),"","Size")</f>
        <v>Size</v>
      </c>
      <c r="L8" s="1" t="str">
        <f>IF(ISBLANK(formules!A8),"",formules!J8)</f>
        <v>XS, S, M, L, XL</v>
      </c>
      <c r="M8" s="1">
        <f>IF(ISBLANK(formules!A8),"",1)</f>
        <v>1</v>
      </c>
      <c r="N8" s="1">
        <f>IF(ISBLANK(formules!A8),"",1)</f>
        <v>1</v>
      </c>
      <c r="O8" s="1" t="str">
        <f>IF(ISBLANK(formules!A8),"","Style")</f>
        <v>Style</v>
      </c>
      <c r="P8" s="1" t="str">
        <f>IF(ISBLANK(formules!A8),"",formules!C8)</f>
        <v>Pant</v>
      </c>
      <c r="Q8" s="1">
        <f>IF(ISBLANK(formules!A8),"",1)</f>
        <v>1</v>
      </c>
      <c r="R8" s="1">
        <f>IF(ISBLANK(formules!A8),"",1)</f>
        <v>1</v>
      </c>
    </row>
    <row r="9" spans="1:18" x14ac:dyDescent="0.2">
      <c r="A9" s="1" t="str">
        <f>IF(ISBLANK(formules!A9),"","variable")</f>
        <v>variable</v>
      </c>
      <c r="B9" s="1" t="str">
        <f>IF(ISBLANK(formules!A9),"",formules!E9)</f>
        <v>3678329-832</v>
      </c>
      <c r="C9" s="1" t="str">
        <f>IF(ISBLANK(formules!A9),"",formules!F9)</f>
        <v>Flowy pants with linen taupe</v>
      </c>
      <c r="D9" s="1" t="str">
        <f>IF(ISBLANK(formules!A9),"",formules!G9)</f>
        <v>&lt;ul&gt;&lt;li&gt;Model size:  S&lt;/li&gt;&lt;li&gt;Model height:  173 cm&lt;/li&gt;&lt;li&gt;Colour:  Taupe&lt;/li&gt;&lt;li&gt;Flowing rustic pants with an elasticated waistband. Made from a viscose and linen blend.&lt;/li&gt;&lt;/ul&gt;</v>
      </c>
      <c r="E9" s="1" t="str">
        <f>IF(ISBLANK(formules!A9),"",formules!H9)</f>
        <v>Pants &gt; Pant, Pants</v>
      </c>
      <c r="F9" s="1" t="str">
        <f>IF(ISBLANK(formules!A9),"",formules!I9)</f>
        <v>https://host.zackha.com/images-nuxtcommerce/3678329-832-1.jpg, https://host.zackha.com/images-nuxtcommerce/3678329-832-2.jpg, https://host.zackha.com/images-nuxtcommerce/3678329-832-3.jpg, https://host.zackha.com/images-nuxtcommerce/3678329-832-4.jpg, https://host.zackha.com/images-nuxtcommerce/3678329-832-5.jpg, https://host.zackha.com/images-nuxtcommerce/3678329-832-6.jpg</v>
      </c>
      <c r="G9" s="1" t="str">
        <f>IF(ISBLANK(formules!A9),"","Color")</f>
        <v>Color</v>
      </c>
      <c r="H9" s="1" t="str">
        <f>IF(ISBLANK(formules!A9),"",formules!D9)</f>
        <v>Taupe</v>
      </c>
      <c r="I9" s="1">
        <f>IF(ISBLANK(formules!A9),"",1)</f>
        <v>1</v>
      </c>
      <c r="J9" s="1">
        <f>IF(ISBLANK(formules!A9),"",1)</f>
        <v>1</v>
      </c>
      <c r="K9" s="1" t="str">
        <f>IF(ISBLANK(formules!A9),"","Size")</f>
        <v>Size</v>
      </c>
      <c r="L9" s="1" t="str">
        <f>IF(ISBLANK(formules!A9),"",formules!J9)</f>
        <v>XS, S, M, L, XL</v>
      </c>
      <c r="M9" s="1">
        <f>IF(ISBLANK(formules!A9),"",1)</f>
        <v>1</v>
      </c>
      <c r="N9" s="1">
        <f>IF(ISBLANK(formules!A9),"",1)</f>
        <v>1</v>
      </c>
      <c r="O9" s="1" t="str">
        <f>IF(ISBLANK(formules!A9),"","Style")</f>
        <v>Style</v>
      </c>
      <c r="P9" s="1" t="str">
        <f>IF(ISBLANK(formules!A9),"",formules!C9)</f>
        <v>Pant</v>
      </c>
      <c r="Q9" s="1">
        <f>IF(ISBLANK(formules!A9),"",1)</f>
        <v>1</v>
      </c>
      <c r="R9" s="1">
        <f>IF(ISBLANK(formules!A9),"",1)</f>
        <v>1</v>
      </c>
    </row>
    <row r="10" spans="1:18" x14ac:dyDescent="0.2">
      <c r="A10" s="1" t="str">
        <f>IF(ISBLANK(formules!A10),"","variable")</f>
        <v>variable</v>
      </c>
      <c r="B10" s="1" t="str">
        <f>IF(ISBLANK(formules!A10),"",formules!E10)</f>
        <v>3678329-600</v>
      </c>
      <c r="C10" s="1" t="str">
        <f>IF(ISBLANK(formules!A10),"",formules!F10)</f>
        <v>Flowy pants with linen red</v>
      </c>
      <c r="D10" s="1" t="str">
        <f>IF(ISBLANK(formules!A10),"",formules!G10)</f>
        <v>&lt;ul&gt;&lt;li&gt;Model size:  S&lt;/li&gt;&lt;li&gt;Model height:  173 cm&lt;/li&gt;&lt;li&gt;Colour:  Red&lt;/li&gt;&lt;li&gt;Flowing rustic pants with an elasticated waistband. Made from a viscose and linen blend.&lt;/li&gt;&lt;/ul&gt;</v>
      </c>
      <c r="E10" s="1" t="str">
        <f>IF(ISBLANK(formules!A10),"",formules!H10)</f>
        <v>Pants &gt; Pant, Pants</v>
      </c>
      <c r="F10" s="1" t="str">
        <f>IF(ISBLANK(formules!A10),"",formules!I10)</f>
        <v>https://host.zackha.com/images-nuxtcommerce/3678329-600-1.jpg, https://host.zackha.com/images-nuxtcommerce/3678329-600-2.jpg, https://host.zackha.com/images-nuxtcommerce/3678329-600-3.jpg, https://host.zackha.com/images-nuxtcommerce/3678329-600-4.jpg, https://host.zackha.com/images-nuxtcommerce/3678329-600-5.jpg, https://host.zackha.com/images-nuxtcommerce/3678329-600-6.jpg</v>
      </c>
      <c r="G10" s="1" t="str">
        <f>IF(ISBLANK(formules!A10),"","Color")</f>
        <v>Color</v>
      </c>
      <c r="H10" s="1" t="str">
        <f>IF(ISBLANK(formules!A10),"",formules!D10)</f>
        <v>Red</v>
      </c>
      <c r="I10" s="1">
        <f>IF(ISBLANK(formules!A10),"",1)</f>
        <v>1</v>
      </c>
      <c r="J10" s="1">
        <f>IF(ISBLANK(formules!A10),"",1)</f>
        <v>1</v>
      </c>
      <c r="K10" s="1" t="str">
        <f>IF(ISBLANK(formules!A10),"","Size")</f>
        <v>Size</v>
      </c>
      <c r="L10" s="1" t="str">
        <f>IF(ISBLANK(formules!A10),"",formules!J10)</f>
        <v>XS, S, M, L, XL</v>
      </c>
      <c r="M10" s="1">
        <f>IF(ISBLANK(formules!A10),"",1)</f>
        <v>1</v>
      </c>
      <c r="N10" s="1">
        <f>IF(ISBLANK(formules!A10),"",1)</f>
        <v>1</v>
      </c>
      <c r="O10" s="1" t="str">
        <f>IF(ISBLANK(formules!A10),"","Style")</f>
        <v>Style</v>
      </c>
      <c r="P10" s="1" t="str">
        <f>IF(ISBLANK(formules!A10),"",formules!C10)</f>
        <v>Pant</v>
      </c>
      <c r="Q10" s="1">
        <f>IF(ISBLANK(formules!A10),"",1)</f>
        <v>1</v>
      </c>
      <c r="R10" s="1">
        <f>IF(ISBLANK(formules!A10),"",1)</f>
        <v>1</v>
      </c>
    </row>
    <row r="11" spans="1:18" x14ac:dyDescent="0.2">
      <c r="A11" s="1" t="str">
        <f>IF(ISBLANK(formules!A11),"","variable")</f>
        <v>variable</v>
      </c>
      <c r="B11" s="1" t="str">
        <f>IF(ISBLANK(formules!A11),"",formules!E11)</f>
        <v>3678329-620</v>
      </c>
      <c r="C11" s="1" t="str">
        <f>IF(ISBLANK(formules!A11),"",formules!F11)</f>
        <v>Flowy pants with linen pink</v>
      </c>
      <c r="D11" s="1" t="str">
        <f>IF(ISBLANK(formules!A11),"",formules!G11)</f>
        <v>&lt;ul&gt;&lt;li&gt;Model size:  S&lt;/li&gt;&lt;li&gt;Model height:  173 cm&lt;/li&gt;&lt;li&gt;Colour:  Pink&lt;/li&gt;&lt;li&gt;Flowing rustic pants with an elasticated waistband. Made from a viscose and linen blend.&lt;/li&gt;&lt;/ul&gt;</v>
      </c>
      <c r="E11" s="1" t="str">
        <f>IF(ISBLANK(formules!A11),"",formules!H11)</f>
        <v>Pants &gt; Pant, Pants</v>
      </c>
      <c r="F11" s="1" t="str">
        <f>IF(ISBLANK(formules!A11),"",formules!I11)</f>
        <v>https://host.zackha.com/images-nuxtcommerce/3678329-620-1.jpg, https://host.zackha.com/images-nuxtcommerce/3678329-620-2.jpg, https://host.zackha.com/images-nuxtcommerce/3678329-620-3.jpg, https://host.zackha.com/images-nuxtcommerce/3678329-620-4.jpg, https://host.zackha.com/images-nuxtcommerce/3678329-620-5.jpg, https://host.zackha.com/images-nuxtcommerce/3678329-620-6.jpg</v>
      </c>
      <c r="G11" s="1" t="str">
        <f>IF(ISBLANK(formules!A11),"","Color")</f>
        <v>Color</v>
      </c>
      <c r="H11" s="1" t="str">
        <f>IF(ISBLANK(formules!A11),"",formules!D11)</f>
        <v>Pink</v>
      </c>
      <c r="I11" s="1">
        <f>IF(ISBLANK(formules!A11),"",1)</f>
        <v>1</v>
      </c>
      <c r="J11" s="1">
        <f>IF(ISBLANK(formules!A11),"",1)</f>
        <v>1</v>
      </c>
      <c r="K11" s="1" t="str">
        <f>IF(ISBLANK(formules!A11),"","Size")</f>
        <v>Size</v>
      </c>
      <c r="L11" s="1" t="str">
        <f>IF(ISBLANK(formules!A11),"",formules!J11)</f>
        <v>XS, S, M, L, XL</v>
      </c>
      <c r="M11" s="1">
        <f>IF(ISBLANK(formules!A11),"",1)</f>
        <v>1</v>
      </c>
      <c r="N11" s="1">
        <f>IF(ISBLANK(formules!A11),"",1)</f>
        <v>1</v>
      </c>
      <c r="O11" s="1" t="str">
        <f>IF(ISBLANK(formules!A11),"","Style")</f>
        <v>Style</v>
      </c>
      <c r="P11" s="1" t="str">
        <f>IF(ISBLANK(formules!A11),"",formules!C11)</f>
        <v>Pant</v>
      </c>
      <c r="Q11" s="1">
        <f>IF(ISBLANK(formules!A11),"",1)</f>
        <v>1</v>
      </c>
      <c r="R11" s="1">
        <f>IF(ISBLANK(formules!A11),"",1)</f>
        <v>1</v>
      </c>
    </row>
    <row r="12" spans="1:18" x14ac:dyDescent="0.2">
      <c r="A12" s="1" t="str">
        <f>IF(ISBLANK(formules!A12),"","variable")</f>
        <v>variable</v>
      </c>
      <c r="B12" s="1" t="str">
        <f>IF(ISBLANK(formules!A12),"",formules!E12)</f>
        <v>4471308-155</v>
      </c>
      <c r="C12" s="1" t="str">
        <f>IF(ISBLANK(formules!A12),"",formules!F12)</f>
        <v>Rustic Oversized Shirt grey/blue</v>
      </c>
      <c r="D12" s="1" t="str">
        <f>IF(ISBLANK(formules!A12),"",formules!G12)</f>
        <v>&lt;ul&gt;&lt;li&gt;Model size:  S&lt;/li&gt;&lt;li&gt;Model height:  178 cm&lt;/li&gt;&lt;li&gt;Colour:  Grey/Blue&lt;/li&gt;&lt;li&gt;Rustic oversize shirt with a Kent collar, long sleeves, a pocket and button fastening.&lt;/li&gt;&lt;/ul&gt;</v>
      </c>
      <c r="E12" s="1" t="str">
        <f>IF(ISBLANK(formules!A12),"",formules!H12)</f>
        <v>Blouses &amp; Shirts &gt; Shirts, Blouses &amp; Shirts</v>
      </c>
      <c r="F12" s="1" t="str">
        <f>IF(ISBLANK(formules!A12),"",formules!I12)</f>
        <v>https://host.zackha.com/images-nuxtcommerce/4471308-155-1.jpg, https://host.zackha.com/images-nuxtcommerce/4471308-155-2.jpg, https://host.zackha.com/images-nuxtcommerce/4471308-155-3.jpg, https://host.zackha.com/images-nuxtcommerce/4471308-155-4.jpg, https://host.zackha.com/images-nuxtcommerce/4471308-155-5.jpg, https://host.zackha.com/images-nuxtcommerce/4471308-155-6.jpg</v>
      </c>
      <c r="G12" s="1" t="str">
        <f>IF(ISBLANK(formules!A12),"","Color")</f>
        <v>Color</v>
      </c>
      <c r="H12" s="1" t="str">
        <f>IF(ISBLANK(formules!A12),"",formules!D12)</f>
        <v>Grey/Blue</v>
      </c>
      <c r="I12" s="1">
        <f>IF(ISBLANK(formules!A12),"",1)</f>
        <v>1</v>
      </c>
      <c r="J12" s="1">
        <f>IF(ISBLANK(formules!A12),"",1)</f>
        <v>1</v>
      </c>
      <c r="K12" s="1" t="str">
        <f>IF(ISBLANK(formules!A12),"","Size")</f>
        <v>Size</v>
      </c>
      <c r="L12" s="1" t="str">
        <f>IF(ISBLANK(formules!A12),"",formules!J12)</f>
        <v>XS, S, M, L, XL</v>
      </c>
      <c r="M12" s="1">
        <f>IF(ISBLANK(formules!A12),"",1)</f>
        <v>1</v>
      </c>
      <c r="N12" s="1">
        <f>IF(ISBLANK(formules!A12),"",1)</f>
        <v>1</v>
      </c>
      <c r="O12" s="1" t="str">
        <f>IF(ISBLANK(formules!A12),"","Style")</f>
        <v>Style</v>
      </c>
      <c r="P12" s="1" t="str">
        <f>IF(ISBLANK(formules!A12),"",formules!C12)</f>
        <v>Shirt</v>
      </c>
      <c r="Q12" s="1">
        <f>IF(ISBLANK(formules!A12),"",1)</f>
        <v>1</v>
      </c>
      <c r="R12" s="1">
        <f>IF(ISBLANK(formules!A12),"",1)</f>
        <v>1</v>
      </c>
    </row>
    <row r="13" spans="1:18" x14ac:dyDescent="0.2">
      <c r="A13" s="1" t="str">
        <f>IF(ISBLANK(formules!A13),"","variable")</f>
        <v>variable</v>
      </c>
      <c r="B13" s="1" t="str">
        <f>IF(ISBLANK(formules!A13),"",formules!E13)</f>
        <v>4471308-620</v>
      </c>
      <c r="C13" s="1" t="str">
        <f>IF(ISBLANK(formules!A13),"",formules!F13)</f>
        <v>Rustic Oversized Shirt pink</v>
      </c>
      <c r="D13" s="1" t="str">
        <f>IF(ISBLANK(formules!A13),"",formules!G13)</f>
        <v>&lt;ul&gt;&lt;li&gt;Model size:  S&lt;/li&gt;&lt;li&gt;Model height:  178 cm&lt;/li&gt;&lt;li&gt;Colour:  Pink&lt;/li&gt;&lt;li&gt;Rustic oversize shirt with a Kent collar, long sleeves, a pocket and button fastening.&lt;/li&gt;&lt;/ul&gt;</v>
      </c>
      <c r="E13" s="1" t="str">
        <f>IF(ISBLANK(formules!A13),"",formules!H13)</f>
        <v>Blouses &amp; Shirts &gt; Shirts, Blouses &amp; Shirts</v>
      </c>
      <c r="F13" s="1" t="str">
        <f>IF(ISBLANK(formules!A13),"",formules!I13)</f>
        <v>https://host.zackha.com/images-nuxtcommerce/4471308-620-1.jpg, https://host.zackha.com/images-nuxtcommerce/4471308-620-2.jpg, https://host.zackha.com/images-nuxtcommerce/4471308-620-3.jpg, https://host.zackha.com/images-nuxtcommerce/4471308-620-4.jpg, https://host.zackha.com/images-nuxtcommerce/4471308-620-5.jpg, https://host.zackha.com/images-nuxtcommerce/4471308-620-6.jpg</v>
      </c>
      <c r="G13" s="1" t="str">
        <f>IF(ISBLANK(formules!A13),"","Color")</f>
        <v>Color</v>
      </c>
      <c r="H13" s="1" t="str">
        <f>IF(ISBLANK(formules!A13),"",formules!D13)</f>
        <v>Pink</v>
      </c>
      <c r="I13" s="1">
        <f>IF(ISBLANK(formules!A13),"",1)</f>
        <v>1</v>
      </c>
      <c r="J13" s="1">
        <f>IF(ISBLANK(formules!A13),"",1)</f>
        <v>1</v>
      </c>
      <c r="K13" s="1" t="str">
        <f>IF(ISBLANK(formules!A13),"","Size")</f>
        <v>Size</v>
      </c>
      <c r="L13" s="1" t="str">
        <f>IF(ISBLANK(formules!A13),"",formules!J13)</f>
        <v>XS, S, M, L, XL</v>
      </c>
      <c r="M13" s="1">
        <f>IF(ISBLANK(formules!A13),"",1)</f>
        <v>1</v>
      </c>
      <c r="N13" s="1">
        <f>IF(ISBLANK(formules!A13),"",1)</f>
        <v>1</v>
      </c>
      <c r="O13" s="1" t="str">
        <f>IF(ISBLANK(formules!A13),"","Style")</f>
        <v>Style</v>
      </c>
      <c r="P13" s="1" t="str">
        <f>IF(ISBLANK(formules!A13),"",formules!C13)</f>
        <v>Shirt</v>
      </c>
      <c r="Q13" s="1">
        <f>IF(ISBLANK(formules!A13),"",1)</f>
        <v>1</v>
      </c>
      <c r="R13" s="1">
        <f>IF(ISBLANK(formules!A13),"",1)</f>
        <v>1</v>
      </c>
    </row>
    <row r="14" spans="1:18" x14ac:dyDescent="0.2">
      <c r="A14" s="1" t="str">
        <f>IF(ISBLANK(formules!A14),"","variable")</f>
        <v>variable</v>
      </c>
      <c r="B14" s="1" t="str">
        <f>IF(ISBLANK(formules!A14),"",formules!E14)</f>
        <v>4471308-600</v>
      </c>
      <c r="C14" s="1" t="str">
        <f>IF(ISBLANK(formules!A14),"",formules!F14)</f>
        <v>Rustic Oversized Shirt red</v>
      </c>
      <c r="D14" s="1" t="str">
        <f>IF(ISBLANK(formules!A14),"",formules!G14)</f>
        <v>&lt;ul&gt;&lt;li&gt;Model size:  S&lt;/li&gt;&lt;li&gt;Model height:  178 cm&lt;/li&gt;&lt;li&gt;Colour:  Red&lt;/li&gt;&lt;li&gt;Rustic oversize shirt with a Kent collar, long sleeves, a pocket and button fastening.&lt;/li&gt;&lt;/ul&gt;</v>
      </c>
      <c r="E14" s="1" t="str">
        <f>IF(ISBLANK(formules!A14),"",formules!H14)</f>
        <v>Blouses &amp; Shirts &gt; Shirts, Blouses &amp; Shirts</v>
      </c>
      <c r="F14" s="1" t="str">
        <f>IF(ISBLANK(formules!A14),"",formules!I14)</f>
        <v>https://host.zackha.com/images-nuxtcommerce/4471308-600-1.jpg, https://host.zackha.com/images-nuxtcommerce/4471308-600-2.jpg, https://host.zackha.com/images-nuxtcommerce/4471308-600-3.jpg, https://host.zackha.com/images-nuxtcommerce/4471308-600-4.jpg, https://host.zackha.com/images-nuxtcommerce/4471308-600-5.jpg, https://host.zackha.com/images-nuxtcommerce/4471308-600-6.jpg</v>
      </c>
      <c r="G14" s="1" t="str">
        <f>IF(ISBLANK(formules!A14),"","Color")</f>
        <v>Color</v>
      </c>
      <c r="H14" s="1" t="str">
        <f>IF(ISBLANK(formules!A14),"",formules!D14)</f>
        <v>Red</v>
      </c>
      <c r="I14" s="1">
        <f>IF(ISBLANK(formules!A14),"",1)</f>
        <v>1</v>
      </c>
      <c r="J14" s="1">
        <f>IF(ISBLANK(formules!A14),"",1)</f>
        <v>1</v>
      </c>
      <c r="K14" s="1" t="str">
        <f>IF(ISBLANK(formules!A14),"","Size")</f>
        <v>Size</v>
      </c>
      <c r="L14" s="1" t="str">
        <f>IF(ISBLANK(formules!A14),"",formules!J14)</f>
        <v>XS, S, M, L, XL</v>
      </c>
      <c r="M14" s="1">
        <f>IF(ISBLANK(formules!A14),"",1)</f>
        <v>1</v>
      </c>
      <c r="N14" s="1">
        <f>IF(ISBLANK(formules!A14),"",1)</f>
        <v>1</v>
      </c>
      <c r="O14" s="1" t="str">
        <f>IF(ISBLANK(formules!A14),"","Style")</f>
        <v>Style</v>
      </c>
      <c r="P14" s="1" t="str">
        <f>IF(ISBLANK(formules!A14),"",formules!C14)</f>
        <v>Shirt</v>
      </c>
      <c r="Q14" s="1">
        <f>IF(ISBLANK(formules!A14),"",1)</f>
        <v>1</v>
      </c>
      <c r="R14" s="1">
        <f>IF(ISBLANK(formules!A14),"",1)</f>
        <v>1</v>
      </c>
    </row>
    <row r="15" spans="1:18" x14ac:dyDescent="0.2">
      <c r="A15" s="1" t="str">
        <f>IF(ISBLANK(formules!A15),"","variable")</f>
        <v>variable</v>
      </c>
      <c r="B15" s="1" t="str">
        <f>IF(ISBLANK(formules!A15),"",formules!E15)</f>
        <v>4471308-700</v>
      </c>
      <c r="C15" s="1" t="str">
        <f>IF(ISBLANK(formules!A15),"",formules!F15)</f>
        <v>Rustic Oversized Shirt brown</v>
      </c>
      <c r="D15" s="1" t="str">
        <f>IF(ISBLANK(formules!A15),"",formules!G15)</f>
        <v>&lt;ul&gt;&lt;li&gt;Model size:  S&lt;/li&gt;&lt;li&gt;Model height:  178 cm&lt;/li&gt;&lt;li&gt;Colour:  Brown&lt;/li&gt;&lt;li&gt;Rustic oversize shirt with a Kent collar, long sleeves, a pocket and button fastening.&lt;/li&gt;&lt;/ul&gt;</v>
      </c>
      <c r="E15" s="1" t="str">
        <f>IF(ISBLANK(formules!A15),"",formules!H15)</f>
        <v>Blouses &amp; Shirts &gt; Shirts, Blouses &amp; Shirts</v>
      </c>
      <c r="F15" s="1" t="str">
        <f>IF(ISBLANK(formules!A15),"",formules!I15)</f>
        <v>https://host.zackha.com/images-nuxtcommerce/4471308-700-1.jpg, https://host.zackha.com/images-nuxtcommerce/4471308-700-2.jpg, https://host.zackha.com/images-nuxtcommerce/4471308-700-3.jpg, https://host.zackha.com/images-nuxtcommerce/4471308-700-4.jpg, https://host.zackha.com/images-nuxtcommerce/4471308-700-5.jpg, https://host.zackha.com/images-nuxtcommerce/4471308-700-6.jpg</v>
      </c>
      <c r="G15" s="1" t="str">
        <f>IF(ISBLANK(formules!A15),"","Color")</f>
        <v>Color</v>
      </c>
      <c r="H15" s="1" t="str">
        <f>IF(ISBLANK(formules!A15),"",formules!D15)</f>
        <v>Brown</v>
      </c>
      <c r="I15" s="1">
        <f>IF(ISBLANK(formules!A15),"",1)</f>
        <v>1</v>
      </c>
      <c r="J15" s="1">
        <f>IF(ISBLANK(formules!A15),"",1)</f>
        <v>1</v>
      </c>
      <c r="K15" s="1" t="str">
        <f>IF(ISBLANK(formules!A15),"","Size")</f>
        <v>Size</v>
      </c>
      <c r="L15" s="1" t="str">
        <f>IF(ISBLANK(formules!A15),"",formules!J15)</f>
        <v>XS, S, M, L, XL</v>
      </c>
      <c r="M15" s="1">
        <f>IF(ISBLANK(formules!A15),"",1)</f>
        <v>1</v>
      </c>
      <c r="N15" s="1">
        <f>IF(ISBLANK(formules!A15),"",1)</f>
        <v>1</v>
      </c>
      <c r="O15" s="1" t="str">
        <f>IF(ISBLANK(formules!A15),"","Style")</f>
        <v>Style</v>
      </c>
      <c r="P15" s="1" t="str">
        <f>IF(ISBLANK(formules!A15),"",formules!C15)</f>
        <v>Shirt</v>
      </c>
      <c r="Q15" s="1">
        <f>IF(ISBLANK(formules!A15),"",1)</f>
        <v>1</v>
      </c>
      <c r="R15" s="1">
        <f>IF(ISBLANK(formules!A15),"",1)</f>
        <v>1</v>
      </c>
    </row>
    <row r="16" spans="1:18" x14ac:dyDescent="0.2">
      <c r="A16" s="1" t="str">
        <f>IF(ISBLANK(formules!A16),"","variable")</f>
        <v>variable</v>
      </c>
      <c r="B16" s="1" t="str">
        <f>IF(ISBLANK(formules!A16),"",formules!E16)</f>
        <v>7234380-671</v>
      </c>
      <c r="C16" s="1" t="str">
        <f>IF(ISBLANK(formules!A16),"",formules!F16)</f>
        <v>Gathered lace camisole top raspberry</v>
      </c>
      <c r="D16" s="1" t="str">
        <f>IF(ISBLANK(formules!A16),"",formules!G16)</f>
        <v>&lt;ul&gt;&lt;li&gt;Model size:  S&lt;/li&gt;&lt;li&gt;Model height:  173 cm&lt;/li&gt;&lt;li&gt;Colour:  Raspberry&lt;/li&gt;&lt;li&gt;Lace top with gathered detail on the chest and thin straps. Made of stretch fabric.&lt;/li&gt;&lt;/ul&gt;</v>
      </c>
      <c r="E16" s="1" t="str">
        <f>IF(ISBLANK(formules!A16),"",formules!H16)</f>
        <v>Tops &gt; Top, Tops</v>
      </c>
      <c r="F16" s="1" t="str">
        <f>IF(ISBLANK(formules!A16),"",formules!I16)</f>
        <v>https://host.zackha.com/images-nuxtcommerce/7234380-671-1.jpg, https://host.zackha.com/images-nuxtcommerce/7234380-671-2.jpg, https://host.zackha.com/images-nuxtcommerce/7234380-671-3.jpg, https://host.zackha.com/images-nuxtcommerce/7234380-671-4.jpg, https://host.zackha.com/images-nuxtcommerce/7234380-671-5.jpg, https://host.zackha.com/images-nuxtcommerce/7234380-671-6.jpg</v>
      </c>
      <c r="G16" s="1" t="str">
        <f>IF(ISBLANK(formules!A16),"","Color")</f>
        <v>Color</v>
      </c>
      <c r="H16" s="1" t="str">
        <f>IF(ISBLANK(formules!A16),"",formules!D16)</f>
        <v>Raspberry</v>
      </c>
      <c r="I16" s="1">
        <f>IF(ISBLANK(formules!A16),"",1)</f>
        <v>1</v>
      </c>
      <c r="J16" s="1">
        <f>IF(ISBLANK(formules!A16),"",1)</f>
        <v>1</v>
      </c>
      <c r="K16" s="1" t="str">
        <f>IF(ISBLANK(formules!A16),"","Size")</f>
        <v>Size</v>
      </c>
      <c r="L16" s="1" t="str">
        <f>IF(ISBLANK(formules!A16),"",formules!J16)</f>
        <v>XS, S, M, L, XL</v>
      </c>
      <c r="M16" s="1">
        <f>IF(ISBLANK(formules!A16),"",1)</f>
        <v>1</v>
      </c>
      <c r="N16" s="1">
        <f>IF(ISBLANK(formules!A16),"",1)</f>
        <v>1</v>
      </c>
      <c r="O16" s="1" t="str">
        <f>IF(ISBLANK(formules!A16),"","Style")</f>
        <v>Style</v>
      </c>
      <c r="P16" s="1" t="str">
        <f>IF(ISBLANK(formules!A16),"",formules!C16)</f>
        <v>Top</v>
      </c>
      <c r="Q16" s="1">
        <f>IF(ISBLANK(formules!A16),"",1)</f>
        <v>1</v>
      </c>
      <c r="R16" s="1">
        <f>IF(ISBLANK(formules!A16),"",1)</f>
        <v>1</v>
      </c>
    </row>
    <row r="17" spans="1:18" x14ac:dyDescent="0.2">
      <c r="A17" s="1" t="str">
        <f>IF(ISBLANK(formules!A17),"","variable")</f>
        <v>variable</v>
      </c>
      <c r="B17" s="1" t="str">
        <f>IF(ISBLANK(formules!A17),"",formules!E17)</f>
        <v>7244362-428</v>
      </c>
      <c r="C17" s="1" t="str">
        <f>IF(ISBLANK(formules!A17),"",formules!F17)</f>
        <v>T-shirt with cowboy and heart graphic faded blue</v>
      </c>
      <c r="D17" s="1" t="str">
        <f>IF(ISBLANK(formules!A17),"",formules!G17)</f>
        <v>&lt;ul&gt;&lt;li&gt;Model size:  S&lt;/li&gt;&lt;li&gt;Model height:  175 cm&lt;/li&gt;&lt;li&gt;Colour:  Faded Blue&lt;/li&gt;&lt;li&gt;T-shirt with My Ranch USA Rodeo graphic, a round collar and short sleeves.&lt;/li&gt;&lt;/ul&gt;</v>
      </c>
      <c r="E17" s="1" t="str">
        <f>IF(ISBLANK(formules!A17),"",formules!H17)</f>
        <v>T-shirts &gt; T-shirt, T-shirts</v>
      </c>
      <c r="F17" s="1" t="str">
        <f>IF(ISBLANK(formules!A17),"",formules!I17)</f>
        <v>https://host.zackha.com/images-nuxtcommerce/7244362-428-1.jpg, https://host.zackha.com/images-nuxtcommerce/7244362-428-2.jpg, https://host.zackha.com/images-nuxtcommerce/7244362-428-3.jpg, https://host.zackha.com/images-nuxtcommerce/7244362-428-4.jpg, https://host.zackha.com/images-nuxtcommerce/7244362-428-5.jpg, https://host.zackha.com/images-nuxtcommerce/7244362-428-6.jpg</v>
      </c>
      <c r="G17" s="1" t="str">
        <f>IF(ISBLANK(formules!A17),"","Color")</f>
        <v>Color</v>
      </c>
      <c r="H17" s="1" t="str">
        <f>IF(ISBLANK(formules!A17),"",formules!D17)</f>
        <v>Faded Blue</v>
      </c>
      <c r="I17" s="1">
        <f>IF(ISBLANK(formules!A17),"",1)</f>
        <v>1</v>
      </c>
      <c r="J17" s="1">
        <f>IF(ISBLANK(formules!A17),"",1)</f>
        <v>1</v>
      </c>
      <c r="K17" s="1" t="str">
        <f>IF(ISBLANK(formules!A17),"","Size")</f>
        <v>Size</v>
      </c>
      <c r="L17" s="1" t="str">
        <f>IF(ISBLANK(formules!A17),"",formules!J17)</f>
        <v>XS, S, M, L, XL</v>
      </c>
      <c r="M17" s="1">
        <f>IF(ISBLANK(formules!A17),"",1)</f>
        <v>1</v>
      </c>
      <c r="N17" s="1">
        <f>IF(ISBLANK(formules!A17),"",1)</f>
        <v>1</v>
      </c>
      <c r="O17" s="1" t="str">
        <f>IF(ISBLANK(formules!A17),"","Style")</f>
        <v>Style</v>
      </c>
      <c r="P17" s="1" t="str">
        <f>IF(ISBLANK(formules!A17),"",formules!C17)</f>
        <v>T-Shirt</v>
      </c>
      <c r="Q17" s="1">
        <f>IF(ISBLANK(formules!A17),"",1)</f>
        <v>1</v>
      </c>
      <c r="R17" s="1">
        <f>IF(ISBLANK(formules!A17),"",1)</f>
        <v>1</v>
      </c>
    </row>
    <row r="18" spans="1:18" x14ac:dyDescent="0.2">
      <c r="A18" s="1" t="str">
        <f>IF(ISBLANK(formules!A18),"","variable")</f>
        <v>variable</v>
      </c>
      <c r="B18" s="1" t="str">
        <f>IF(ISBLANK(formules!A18),"",formules!E18)</f>
        <v>7244374-120</v>
      </c>
      <c r="C18" s="1" t="str">
        <f>IF(ISBLANK(formules!A18),"",formules!F18)</f>
        <v>Printed tulle halter top print</v>
      </c>
      <c r="D18" s="1" t="str">
        <f>IF(ISBLANK(formules!A18),"",formules!G18)</f>
        <v>&lt;ul&gt;&lt;li&gt;Model size:  S&lt;/li&gt;&lt;li&gt;Model height:  174 cm&lt;/li&gt;&lt;li&gt;Colour:  Print&lt;/li&gt;&lt;li&gt;Top with a halter neckline, a tie-dye print and gathered detail on the sides. Made of stretch fabric.&lt;/li&gt;&lt;/ul&gt;</v>
      </c>
      <c r="E18" s="1" t="str">
        <f>IF(ISBLANK(formules!A18),"",formules!H18)</f>
        <v>Tops &gt; Top, Tops</v>
      </c>
      <c r="F18" s="1" t="str">
        <f>IF(ISBLANK(formules!A18),"",formules!I18)</f>
        <v>https://host.zackha.com/images-nuxtcommerce/7244374-120-1.jpg, https://host.zackha.com/images-nuxtcommerce/7244374-120-2.jpg, https://host.zackha.com/images-nuxtcommerce/7244374-120-3.jpg, https://host.zackha.com/images-nuxtcommerce/7244374-120-4.jpg, https://host.zackha.com/images-nuxtcommerce/7244374-120-5.jpg, https://host.zackha.com/images-nuxtcommerce/7244374-120-6.jpg</v>
      </c>
      <c r="G18" s="1" t="str">
        <f>IF(ISBLANK(formules!A18),"","Color")</f>
        <v>Color</v>
      </c>
      <c r="H18" s="1" t="str">
        <f>IF(ISBLANK(formules!A18),"",formules!D18)</f>
        <v>Print</v>
      </c>
      <c r="I18" s="1">
        <f>IF(ISBLANK(formules!A18),"",1)</f>
        <v>1</v>
      </c>
      <c r="J18" s="1">
        <f>IF(ISBLANK(formules!A18),"",1)</f>
        <v>1</v>
      </c>
      <c r="K18" s="1" t="str">
        <f>IF(ISBLANK(formules!A18),"","Size")</f>
        <v>Size</v>
      </c>
      <c r="L18" s="1" t="str">
        <f>IF(ISBLANK(formules!A18),"",formules!J18)</f>
        <v>XS, S, M, L, XL</v>
      </c>
      <c r="M18" s="1">
        <f>IF(ISBLANK(formules!A18),"",1)</f>
        <v>1</v>
      </c>
      <c r="N18" s="1">
        <f>IF(ISBLANK(formules!A18),"",1)</f>
        <v>1</v>
      </c>
      <c r="O18" s="1" t="str">
        <f>IF(ISBLANK(formules!A18),"","Style")</f>
        <v>Style</v>
      </c>
      <c r="P18" s="1" t="str">
        <f>IF(ISBLANK(formules!A18),"",formules!C18)</f>
        <v>Top</v>
      </c>
      <c r="Q18" s="1">
        <f>IF(ISBLANK(formules!A18),"",1)</f>
        <v>1</v>
      </c>
      <c r="R18" s="1">
        <f>IF(ISBLANK(formules!A18),"",1)</f>
        <v>1</v>
      </c>
    </row>
    <row r="19" spans="1:18" x14ac:dyDescent="0.2">
      <c r="A19" s="1" t="str">
        <f>IF(ISBLANK(formules!A19),"","variable")</f>
        <v>variable</v>
      </c>
      <c r="B19" s="1" t="str">
        <f>IF(ISBLANK(formules!A19),"",formules!E19)</f>
        <v>7244374-115</v>
      </c>
      <c r="C19" s="1" t="str">
        <f>IF(ISBLANK(formules!A19),"",formules!F19)</f>
        <v>Printed tulle halter top zebra</v>
      </c>
      <c r="D19" s="1" t="str">
        <f>IF(ISBLANK(formules!A19),"",formules!G19)</f>
        <v>&lt;ul&gt;&lt;li&gt;Model size:  S&lt;/li&gt;&lt;li&gt;Model height:  174 cm&lt;/li&gt;&lt;li&gt;Colour:  Zebra&lt;/li&gt;&lt;li&gt;Top with a halter neckline, a tie-dye print and gathered detail on the sides. Made of stretch fabric.&lt;/li&gt;&lt;/ul&gt;</v>
      </c>
      <c r="E19" s="1" t="str">
        <f>IF(ISBLANK(formules!A19),"",formules!H19)</f>
        <v>Tops &gt; Top, Tops</v>
      </c>
      <c r="F19" s="1" t="str">
        <f>IF(ISBLANK(formules!A19),"",formules!I19)</f>
        <v>https://host.zackha.com/images-nuxtcommerce/7244374-115-1.jpg, https://host.zackha.com/images-nuxtcommerce/7244374-115-2.jpg, https://host.zackha.com/images-nuxtcommerce/7244374-115-3.jpg, https://host.zackha.com/images-nuxtcommerce/7244374-115-4.jpg, https://host.zackha.com/images-nuxtcommerce/7244374-115-5.jpg, https://host.zackha.com/images-nuxtcommerce/7244374-115-6.jpg</v>
      </c>
      <c r="G19" s="1" t="str">
        <f>IF(ISBLANK(formules!A19),"","Color")</f>
        <v>Color</v>
      </c>
      <c r="H19" s="1" t="str">
        <f>IF(ISBLANK(formules!A19),"",formules!D19)</f>
        <v>Zebra</v>
      </c>
      <c r="I19" s="1">
        <f>IF(ISBLANK(formules!A19),"",1)</f>
        <v>1</v>
      </c>
      <c r="J19" s="1">
        <f>IF(ISBLANK(formules!A19),"",1)</f>
        <v>1</v>
      </c>
      <c r="K19" s="1" t="str">
        <f>IF(ISBLANK(formules!A19),"","Size")</f>
        <v>Size</v>
      </c>
      <c r="L19" s="1" t="str">
        <f>IF(ISBLANK(formules!A19),"",formules!J19)</f>
        <v>XS, S, M, L, XL</v>
      </c>
      <c r="M19" s="1">
        <f>IF(ISBLANK(formules!A19),"",1)</f>
        <v>1</v>
      </c>
      <c r="N19" s="1">
        <f>IF(ISBLANK(formules!A19),"",1)</f>
        <v>1</v>
      </c>
      <c r="O19" s="1" t="str">
        <f>IF(ISBLANK(formules!A19),"","Style")</f>
        <v>Style</v>
      </c>
      <c r="P19" s="1" t="str">
        <f>IF(ISBLANK(formules!A19),"",formules!C19)</f>
        <v>Top</v>
      </c>
      <c r="Q19" s="1">
        <f>IF(ISBLANK(formules!A19),"",1)</f>
        <v>1</v>
      </c>
      <c r="R19" s="1">
        <f>IF(ISBLANK(formules!A19),"",1)</f>
        <v>1</v>
      </c>
    </row>
    <row r="20" spans="1:18" x14ac:dyDescent="0.2">
      <c r="A20" s="1" t="str">
        <f>IF(ISBLANK(formules!A20),"","variable")</f>
        <v>variable</v>
      </c>
      <c r="B20" s="1" t="str">
        <f>IF(ISBLANK(formules!A20),"",formules!E20)</f>
        <v>7244383-406</v>
      </c>
      <c r="C20" s="1" t="str">
        <f>IF(ISBLANK(formules!A20),"",formules!F20)</f>
        <v>Striped short sleeve T-shirt pale blue</v>
      </c>
      <c r="D20" s="1" t="str">
        <f>IF(ISBLANK(formules!A20),"",formules!G20)</f>
        <v>&lt;ul&gt;&lt;li&gt;Model size:  S&lt;/li&gt;&lt;li&gt;Model height:  175 cm&lt;/li&gt;&lt;li&gt;Colour:  Pale Blue&lt;/li&gt;&lt;li&gt;Striped T-shirt with short sleeves and a round collar. Available in assorted colors and made of cotton.&lt;/li&gt;&lt;/ul&gt;</v>
      </c>
      <c r="E20" s="1" t="str">
        <f>IF(ISBLANK(formules!A20),"",formules!H20)</f>
        <v>T-shirts &gt; T-shirt, T-shirts</v>
      </c>
      <c r="F20" s="1" t="str">
        <f>IF(ISBLANK(formules!A20),"",formules!I20)</f>
        <v>https://host.zackha.com/images-nuxtcommerce/7244383-406-1.jpg, https://host.zackha.com/images-nuxtcommerce/7244383-406-2.jpg, https://host.zackha.com/images-nuxtcommerce/7244383-406-3.jpg, https://host.zackha.com/images-nuxtcommerce/7244383-406-4.jpg, https://host.zackha.com/images-nuxtcommerce/7244383-406-5.jpg, https://host.zackha.com/images-nuxtcommerce/7244383-406-6.jpg</v>
      </c>
      <c r="G20" s="1" t="str">
        <f>IF(ISBLANK(formules!A20),"","Color")</f>
        <v>Color</v>
      </c>
      <c r="H20" s="1" t="str">
        <f>IF(ISBLANK(formules!A20),"",formules!D20)</f>
        <v>Pale Blue</v>
      </c>
      <c r="I20" s="1">
        <f>IF(ISBLANK(formules!A20),"",1)</f>
        <v>1</v>
      </c>
      <c r="J20" s="1">
        <f>IF(ISBLANK(formules!A20),"",1)</f>
        <v>1</v>
      </c>
      <c r="K20" s="1" t="str">
        <f>IF(ISBLANK(formules!A20),"","Size")</f>
        <v>Size</v>
      </c>
      <c r="L20" s="1" t="str">
        <f>IF(ISBLANK(formules!A20),"",formules!J20)</f>
        <v>XS, S, M, L, XL</v>
      </c>
      <c r="M20" s="1">
        <f>IF(ISBLANK(formules!A20),"",1)</f>
        <v>1</v>
      </c>
      <c r="N20" s="1">
        <f>IF(ISBLANK(formules!A20),"",1)</f>
        <v>1</v>
      </c>
      <c r="O20" s="1" t="str">
        <f>IF(ISBLANK(formules!A20),"","Style")</f>
        <v>Style</v>
      </c>
      <c r="P20" s="1" t="str">
        <f>IF(ISBLANK(formules!A20),"",formules!C20)</f>
        <v>T-Shirt</v>
      </c>
      <c r="Q20" s="1">
        <f>IF(ISBLANK(formules!A20),"",1)</f>
        <v>1</v>
      </c>
      <c r="R20" s="1">
        <f>IF(ISBLANK(formules!A20),"",1)</f>
        <v>1</v>
      </c>
    </row>
    <row r="21" spans="1:18" x14ac:dyDescent="0.2">
      <c r="A21" s="1" t="str">
        <f>IF(ISBLANK(formules!A21),"","variable")</f>
        <v>variable</v>
      </c>
      <c r="B21" s="1" t="str">
        <f>IF(ISBLANK(formules!A21),"",formules!E21)</f>
        <v>7244383-700</v>
      </c>
      <c r="C21" s="1" t="str">
        <f>IF(ISBLANK(formules!A21),"",formules!F21)</f>
        <v>Striped short sleeve T-shirt brown</v>
      </c>
      <c r="D21" s="1" t="str">
        <f>IF(ISBLANK(formules!A21),"",formules!G21)</f>
        <v>&lt;ul&gt;&lt;li&gt;Model size:  S&lt;/li&gt;&lt;li&gt;Model height:  175 cm&lt;/li&gt;&lt;li&gt;Colour:  Brown&lt;/li&gt;&lt;li&gt;Striped T-shirt with short sleeves and a round collar. Available in assorted colors and made of cotton.&lt;/li&gt;&lt;/ul&gt;</v>
      </c>
      <c r="E21" s="1" t="str">
        <f>IF(ISBLANK(formules!A21),"",formules!H21)</f>
        <v>T-shirts &gt; T-shirt, T-shirts</v>
      </c>
      <c r="F21" s="1" t="str">
        <f>IF(ISBLANK(formules!A21),"",formules!I21)</f>
        <v>https://host.zackha.com/images-nuxtcommerce/7244383-700-1.jpg, https://host.zackha.com/images-nuxtcommerce/7244383-700-2.jpg, https://host.zackha.com/images-nuxtcommerce/7244383-700-3.jpg, https://host.zackha.com/images-nuxtcommerce/7244383-700-4.jpg, https://host.zackha.com/images-nuxtcommerce/7244383-700-5.jpg, https://host.zackha.com/images-nuxtcommerce/7244383-700-6.jpg</v>
      </c>
      <c r="G21" s="1" t="str">
        <f>IF(ISBLANK(formules!A21),"","Color")</f>
        <v>Color</v>
      </c>
      <c r="H21" s="1" t="str">
        <f>IF(ISBLANK(formules!A21),"",formules!D21)</f>
        <v>Brown</v>
      </c>
      <c r="I21" s="1">
        <f>IF(ISBLANK(formules!A21),"",1)</f>
        <v>1</v>
      </c>
      <c r="J21" s="1">
        <f>IF(ISBLANK(formules!A21),"",1)</f>
        <v>1</v>
      </c>
      <c r="K21" s="1" t="str">
        <f>IF(ISBLANK(formules!A21),"","Size")</f>
        <v>Size</v>
      </c>
      <c r="L21" s="1" t="str">
        <f>IF(ISBLANK(formules!A21),"",formules!J21)</f>
        <v>XS, S, M, L, XL</v>
      </c>
      <c r="M21" s="1">
        <f>IF(ISBLANK(formules!A21),"",1)</f>
        <v>1</v>
      </c>
      <c r="N21" s="1">
        <f>IF(ISBLANK(formules!A21),"",1)</f>
        <v>1</v>
      </c>
      <c r="O21" s="1" t="str">
        <f>IF(ISBLANK(formules!A21),"","Style")</f>
        <v>Style</v>
      </c>
      <c r="P21" s="1" t="str">
        <f>IF(ISBLANK(formules!A21),"",formules!C21)</f>
        <v>T-Shirt</v>
      </c>
      <c r="Q21" s="1">
        <f>IF(ISBLANK(formules!A21),"",1)</f>
        <v>1</v>
      </c>
      <c r="R21" s="1">
        <f>IF(ISBLANK(formules!A21),"",1)</f>
        <v>1</v>
      </c>
    </row>
    <row r="22" spans="1:18" x14ac:dyDescent="0.2">
      <c r="A22" s="1" t="str">
        <f>IF(ISBLANK(formules!A22),"","variable")</f>
        <v>variable</v>
      </c>
      <c r="B22" s="1" t="str">
        <f>IF(ISBLANK(formules!A22),"",formules!E22)</f>
        <v>7390375-400</v>
      </c>
      <c r="C22" s="1" t="str">
        <f>IF(ISBLANK(formules!A22),"",formules!F22)</f>
        <v>Strappy crepe midi dress blue</v>
      </c>
      <c r="D22" s="1" t="str">
        <f>IF(ISBLANK(formules!A22),"",formules!G22)</f>
        <v>&lt;ul&gt;&lt;li&gt;Model size:  S&lt;/li&gt;&lt;li&gt;Model height:  174 cm&lt;/li&gt;&lt;li&gt;Colour:  Blue&lt;/li&gt;&lt;li&gt;Fitted rustic crepe midi dress with straps.&lt;/li&gt;&lt;/ul&gt;</v>
      </c>
      <c r="E22" s="1" t="str">
        <f>IF(ISBLANK(formules!A22),"",formules!H22)</f>
        <v>Dresses &gt; Dress, Dresses</v>
      </c>
      <c r="F22" s="1" t="str">
        <f>IF(ISBLANK(formules!A22),"",formules!I22)</f>
        <v>https://host.zackha.com/images-nuxtcommerce/7390375-400-1.jpg, https://host.zackha.com/images-nuxtcommerce/7390375-400-2.jpg, https://host.zackha.com/images-nuxtcommerce/7390375-400-3.jpg, https://host.zackha.com/images-nuxtcommerce/7390375-400-4.jpg, https://host.zackha.com/images-nuxtcommerce/7390375-400-5.jpg, https://host.zackha.com/images-nuxtcommerce/7390375-400-6.jpg</v>
      </c>
      <c r="G22" s="1" t="str">
        <f>IF(ISBLANK(formules!A22),"","Color")</f>
        <v>Color</v>
      </c>
      <c r="H22" s="1" t="str">
        <f>IF(ISBLANK(formules!A22),"",formules!D22)</f>
        <v>Blue</v>
      </c>
      <c r="I22" s="1">
        <f>IF(ISBLANK(formules!A22),"",1)</f>
        <v>1</v>
      </c>
      <c r="J22" s="1">
        <f>IF(ISBLANK(formules!A22),"",1)</f>
        <v>1</v>
      </c>
      <c r="K22" s="1" t="str">
        <f>IF(ISBLANK(formules!A22),"","Size")</f>
        <v>Size</v>
      </c>
      <c r="L22" s="1" t="str">
        <f>IF(ISBLANK(formules!A22),"",formules!J22)</f>
        <v>XS, S, M, L, XL</v>
      </c>
      <c r="M22" s="1">
        <f>IF(ISBLANK(formules!A22),"",1)</f>
        <v>1</v>
      </c>
      <c r="N22" s="1">
        <f>IF(ISBLANK(formules!A22),"",1)</f>
        <v>1</v>
      </c>
      <c r="O22" s="1" t="str">
        <f>IF(ISBLANK(formules!A22),"","Style")</f>
        <v>Style</v>
      </c>
      <c r="P22" s="1" t="str">
        <f>IF(ISBLANK(formules!A22),"",formules!C22)</f>
        <v>Dress</v>
      </c>
      <c r="Q22" s="1">
        <f>IF(ISBLANK(formules!A22),"",1)</f>
        <v>1</v>
      </c>
      <c r="R22" s="1">
        <f>IF(ISBLANK(formules!A22),"",1)</f>
        <v>1</v>
      </c>
    </row>
    <row r="23" spans="1:18" x14ac:dyDescent="0.2">
      <c r="A23" s="1" t="str">
        <f>IF(ISBLANK(formules!A23),"","variable")</f>
        <v>variable</v>
      </c>
      <c r="B23" s="1" t="str">
        <f>IF(ISBLANK(formules!A23),"",formules!E23)</f>
        <v>7390375-736</v>
      </c>
      <c r="C23" s="1" t="str">
        <f>IF(ISBLANK(formules!A23),"",formules!F23)</f>
        <v>Strappy crepe midi dress pale mink</v>
      </c>
      <c r="D23" s="1" t="str">
        <f>IF(ISBLANK(formules!A23),"",formules!G23)</f>
        <v>&lt;ul&gt;&lt;li&gt;Model size:  S&lt;/li&gt;&lt;li&gt;Model height:  174 cm&lt;/li&gt;&lt;li&gt;Colour:  Pale Mink&lt;/li&gt;&lt;li&gt;Fitted rustic crepe midi dress with straps.&lt;/li&gt;&lt;/ul&gt;</v>
      </c>
      <c r="E23" s="1" t="str">
        <f>IF(ISBLANK(formules!A23),"",formules!H23)</f>
        <v>Dresses &gt; Dress, Dresses</v>
      </c>
      <c r="F23" s="1" t="str">
        <f>IF(ISBLANK(formules!A23),"",formules!I23)</f>
        <v>https://host.zackha.com/images-nuxtcommerce/7390375-736-1.jpg, https://host.zackha.com/images-nuxtcommerce/7390375-736-2.jpg, https://host.zackha.com/images-nuxtcommerce/7390375-736-3.jpg, https://host.zackha.com/images-nuxtcommerce/7390375-736-4.jpg, https://host.zackha.com/images-nuxtcommerce/7390375-736-5.jpg, https://host.zackha.com/images-nuxtcommerce/7390375-736-6.jpg</v>
      </c>
      <c r="G23" s="1" t="str">
        <f>IF(ISBLANK(formules!A23),"","Color")</f>
        <v>Color</v>
      </c>
      <c r="H23" s="1" t="str">
        <f>IF(ISBLANK(formules!A23),"",formules!D23)</f>
        <v>Pale Mink</v>
      </c>
      <c r="I23" s="1">
        <f>IF(ISBLANK(formules!A23),"",1)</f>
        <v>1</v>
      </c>
      <c r="J23" s="1">
        <f>IF(ISBLANK(formules!A23),"",1)</f>
        <v>1</v>
      </c>
      <c r="K23" s="1" t="str">
        <f>IF(ISBLANK(formules!A23),"","Size")</f>
        <v>Size</v>
      </c>
      <c r="L23" s="1" t="str">
        <f>IF(ISBLANK(formules!A23),"",formules!J23)</f>
        <v>XS, S, M, L, XL</v>
      </c>
      <c r="M23" s="1">
        <f>IF(ISBLANK(formules!A23),"",1)</f>
        <v>1</v>
      </c>
      <c r="N23" s="1">
        <f>IF(ISBLANK(formules!A23),"",1)</f>
        <v>1</v>
      </c>
      <c r="O23" s="1" t="str">
        <f>IF(ISBLANK(formules!A23),"","Style")</f>
        <v>Style</v>
      </c>
      <c r="P23" s="1" t="str">
        <f>IF(ISBLANK(formules!A23),"",formules!C23)</f>
        <v>Dress</v>
      </c>
      <c r="Q23" s="1">
        <f>IF(ISBLANK(formules!A23),"",1)</f>
        <v>1</v>
      </c>
      <c r="R23" s="1">
        <f>IF(ISBLANK(formules!A23),"",1)</f>
        <v>1</v>
      </c>
    </row>
    <row r="24" spans="1:18" x14ac:dyDescent="0.2">
      <c r="A24" s="1" t="str">
        <f>IF(ISBLANK(formules!A24),"","variable")</f>
        <v>variable</v>
      </c>
      <c r="B24" s="1" t="str">
        <f>IF(ISBLANK(formules!A24),"",formules!E24)</f>
        <v>7390375-518</v>
      </c>
      <c r="C24" s="1" t="str">
        <f>IF(ISBLANK(formules!A24),"",formules!F24)</f>
        <v>Strappy crepe midi dress bluish green</v>
      </c>
      <c r="D24" s="1" t="str">
        <f>IF(ISBLANK(formules!A24),"",formules!G24)</f>
        <v>&lt;ul&gt;&lt;li&gt;Model size:  S&lt;/li&gt;&lt;li&gt;Model height:  174 cm&lt;/li&gt;&lt;li&gt;Colour:  Bluish Green&lt;/li&gt;&lt;li&gt;Fitted rustic crepe midi dress with straps.&lt;/li&gt;&lt;/ul&gt;</v>
      </c>
      <c r="E24" s="1" t="str">
        <f>IF(ISBLANK(formules!A24),"",formules!H24)</f>
        <v>Dresses &gt; Dress, Dresses</v>
      </c>
      <c r="F24" s="1" t="str">
        <f>IF(ISBLANK(formules!A24),"",formules!I24)</f>
        <v>https://host.zackha.com/images-nuxtcommerce/7390375-518-1.jpg, https://host.zackha.com/images-nuxtcommerce/7390375-518-2.jpg, https://host.zackha.com/images-nuxtcommerce/7390375-518-3.jpg, https://host.zackha.com/images-nuxtcommerce/7390375-518-4.jpg, https://host.zackha.com/images-nuxtcommerce/7390375-518-5.jpg, https://host.zackha.com/images-nuxtcommerce/7390375-518-6.jpg</v>
      </c>
      <c r="G24" s="1" t="str">
        <f>IF(ISBLANK(formules!A24),"","Color")</f>
        <v>Color</v>
      </c>
      <c r="H24" s="1" t="str">
        <f>IF(ISBLANK(formules!A24),"",formules!D24)</f>
        <v>Bluish Green</v>
      </c>
      <c r="I24" s="1">
        <f>IF(ISBLANK(formules!A24),"",1)</f>
        <v>1</v>
      </c>
      <c r="J24" s="1">
        <f>IF(ISBLANK(formules!A24),"",1)</f>
        <v>1</v>
      </c>
      <c r="K24" s="1" t="str">
        <f>IF(ISBLANK(formules!A24),"","Size")</f>
        <v>Size</v>
      </c>
      <c r="L24" s="1" t="str">
        <f>IF(ISBLANK(formules!A24),"",formules!J24)</f>
        <v>XS, S, M, L, XL</v>
      </c>
      <c r="M24" s="1">
        <f>IF(ISBLANK(formules!A24),"",1)</f>
        <v>1</v>
      </c>
      <c r="N24" s="1">
        <f>IF(ISBLANK(formules!A24),"",1)</f>
        <v>1</v>
      </c>
      <c r="O24" s="1" t="str">
        <f>IF(ISBLANK(formules!A24),"","Style")</f>
        <v>Style</v>
      </c>
      <c r="P24" s="1" t="str">
        <f>IF(ISBLANK(formules!A24),"",formules!C24)</f>
        <v>Dress</v>
      </c>
      <c r="Q24" s="1">
        <f>IF(ISBLANK(formules!A24),"",1)</f>
        <v>1</v>
      </c>
      <c r="R24" s="1">
        <f>IF(ISBLANK(formules!A24),"",1)</f>
        <v>1</v>
      </c>
    </row>
    <row r="25" spans="1:18" x14ac:dyDescent="0.2">
      <c r="A25" s="1" t="str">
        <f>IF(ISBLANK(formules!A25),"","variable")</f>
        <v>variable</v>
      </c>
      <c r="B25" s="1" t="str">
        <f>IF(ISBLANK(formules!A25),"",formules!E25)</f>
        <v>7390394-250</v>
      </c>
      <c r="C25" s="1" t="str">
        <f>IF(ISBLANK(formules!A25),"",formules!F25)</f>
        <v>Short floral lace dress white</v>
      </c>
      <c r="D25" s="1" t="str">
        <f>IF(ISBLANK(formules!A25),"",formules!G25)</f>
        <v>&lt;ul&gt;&lt;li&gt;Model size:  S&lt;/li&gt;&lt;li&gt;Model height:  173 cm&lt;/li&gt;&lt;li&gt;Colour:  White&lt;/li&gt;&lt;li&gt;Short sleeveless floral dress in lace fabric with lace trim detail.&lt;/li&gt;&lt;/ul&gt;</v>
      </c>
      <c r="E25" s="1" t="str">
        <f>IF(ISBLANK(formules!A25),"",formules!H25)</f>
        <v>Dresses &gt; Dress, Dresses</v>
      </c>
      <c r="F25" s="1" t="str">
        <f>IF(ISBLANK(formules!A25),"",formules!I25)</f>
        <v>https://host.zackha.com/images-nuxtcommerce/7390394-250-1.jpg, https://host.zackha.com/images-nuxtcommerce/7390394-250-2.jpg, https://host.zackha.com/images-nuxtcommerce/7390394-250-3.jpg, https://host.zackha.com/images-nuxtcommerce/7390394-250-4.jpg, https://host.zackha.com/images-nuxtcommerce/7390394-250-5.jpg, https://host.zackha.com/images-nuxtcommerce/7390394-250-6.jpg</v>
      </c>
      <c r="G25" s="1" t="str">
        <f>IF(ISBLANK(formules!A25),"","Color")</f>
        <v>Color</v>
      </c>
      <c r="H25" s="1" t="str">
        <f>IF(ISBLANK(formules!A25),"",formules!D25)</f>
        <v>White</v>
      </c>
      <c r="I25" s="1">
        <f>IF(ISBLANK(formules!A25),"",1)</f>
        <v>1</v>
      </c>
      <c r="J25" s="1">
        <f>IF(ISBLANK(formules!A25),"",1)</f>
        <v>1</v>
      </c>
      <c r="K25" s="1" t="str">
        <f>IF(ISBLANK(formules!A25),"","Size")</f>
        <v>Size</v>
      </c>
      <c r="L25" s="1" t="str">
        <f>IF(ISBLANK(formules!A25),"",formules!J25)</f>
        <v>XS, S, M, L, XL</v>
      </c>
      <c r="M25" s="1">
        <f>IF(ISBLANK(formules!A25),"",1)</f>
        <v>1</v>
      </c>
      <c r="N25" s="1">
        <f>IF(ISBLANK(formules!A25),"",1)</f>
        <v>1</v>
      </c>
      <c r="O25" s="1" t="str">
        <f>IF(ISBLANK(formules!A25),"","Style")</f>
        <v>Style</v>
      </c>
      <c r="P25" s="1" t="str">
        <f>IF(ISBLANK(formules!A25),"",formules!C25)</f>
        <v>Dress</v>
      </c>
      <c r="Q25" s="1">
        <f>IF(ISBLANK(formules!A25),"",1)</f>
        <v>1</v>
      </c>
      <c r="R25" s="1">
        <f>IF(ISBLANK(formules!A25),"",1)</f>
        <v>1</v>
      </c>
    </row>
    <row r="26" spans="1:18" x14ac:dyDescent="0.2">
      <c r="A26" s="1" t="str">
        <f>IF(ISBLANK(formules!A26),"","variable")</f>
        <v>variable</v>
      </c>
      <c r="B26" s="1" t="str">
        <f>IF(ISBLANK(formules!A26),"",formules!E26)</f>
        <v>7396338-400</v>
      </c>
      <c r="C26" s="1" t="str">
        <f>IF(ISBLANK(formules!A26),"",formules!F26)</f>
        <v>Striped balloon mini skirt blue</v>
      </c>
      <c r="D26" s="1" t="str">
        <f>IF(ISBLANK(formules!A26),"",formules!G26)</f>
        <v>&lt;ul&gt;&lt;li&gt;Model size:  S&lt;/li&gt;&lt;li&gt;Model height:  175 cm&lt;/li&gt;&lt;li&gt;Colour:  Blue&lt;/li&gt;&lt;li&gt;Balloon mini skirt with a wide waist and striped print.&lt;/li&gt;&lt;/ul&gt;</v>
      </c>
      <c r="E26" s="1" t="str">
        <f>IF(ISBLANK(formules!A26),"",formules!H26)</f>
        <v>Skirts &gt; Skirt, Skirts</v>
      </c>
      <c r="F26" s="1" t="str">
        <f>IF(ISBLANK(formules!A26),"",formules!I26)</f>
        <v>https://host.zackha.com/images-nuxtcommerce/7396338-400-1.jpg, https://host.zackha.com/images-nuxtcommerce/7396338-400-2.jpg, https://host.zackha.com/images-nuxtcommerce/7396338-400-3.jpg, https://host.zackha.com/images-nuxtcommerce/7396338-400-4.jpg, https://host.zackha.com/images-nuxtcommerce/7396338-400-5.jpg, https://host.zackha.com/images-nuxtcommerce/7396338-400-6.jpg</v>
      </c>
      <c r="G26" s="1" t="str">
        <f>IF(ISBLANK(formules!A26),"","Color")</f>
        <v>Color</v>
      </c>
      <c r="H26" s="1" t="str">
        <f>IF(ISBLANK(formules!A26),"",formules!D26)</f>
        <v>Blue</v>
      </c>
      <c r="I26" s="1">
        <f>IF(ISBLANK(formules!A26),"",1)</f>
        <v>1</v>
      </c>
      <c r="J26" s="1">
        <f>IF(ISBLANK(formules!A26),"",1)</f>
        <v>1</v>
      </c>
      <c r="K26" s="1" t="str">
        <f>IF(ISBLANK(formules!A26),"","Size")</f>
        <v>Size</v>
      </c>
      <c r="L26" s="1" t="str">
        <f>IF(ISBLANK(formules!A26),"",formules!J26)</f>
        <v>XS, S, M, L, XL</v>
      </c>
      <c r="M26" s="1">
        <f>IF(ISBLANK(formules!A26),"",1)</f>
        <v>1</v>
      </c>
      <c r="N26" s="1">
        <f>IF(ISBLANK(formules!A26),"",1)</f>
        <v>1</v>
      </c>
      <c r="O26" s="1" t="str">
        <f>IF(ISBLANK(formules!A26),"","Style")</f>
        <v>Style</v>
      </c>
      <c r="P26" s="1" t="str">
        <f>IF(ISBLANK(formules!A26),"",formules!C26)</f>
        <v>Skirt</v>
      </c>
      <c r="Q26" s="1">
        <f>IF(ISBLANK(formules!A26),"",1)</f>
        <v>1</v>
      </c>
      <c r="R26" s="1">
        <f>IF(ISBLANK(formules!A26),"",1)</f>
        <v>1</v>
      </c>
    </row>
    <row r="27" spans="1:18" x14ac:dyDescent="0.2">
      <c r="A27" s="1" t="str">
        <f>IF(ISBLANK(formules!A27),"","variable")</f>
        <v>variable</v>
      </c>
      <c r="B27" s="1" t="str">
        <f>IF(ISBLANK(formules!A27),"",formules!E27)</f>
        <v>7570302-600</v>
      </c>
      <c r="C27" s="1" t="str">
        <f>IF(ISBLANK(formules!A27),"",formules!F27)</f>
        <v>Purl knit vest red</v>
      </c>
      <c r="D27" s="1" t="str">
        <f>IF(ISBLANK(formules!A27),"",formules!G27)</f>
        <v>&lt;ul&gt;&lt;li&gt;Model size:  S&lt;/li&gt;&lt;li&gt;Model height:  174 cm&lt;/li&gt;&lt;li&gt;Colour:  Red&lt;/li&gt;&lt;li&gt;Purl knit vest. Available in assorted colors.&lt;/li&gt;&lt;/ul&gt;</v>
      </c>
      <c r="E27" s="1" t="str">
        <f>IF(ISBLANK(formules!A27),"",formules!H27)</f>
        <v>Vests &gt; Vest, Vests</v>
      </c>
      <c r="F27" s="1" t="str">
        <f>IF(ISBLANK(formules!A27),"",formules!I27)</f>
        <v>https://host.zackha.com/images-nuxtcommerce/7570302-600-1.jpg, https://host.zackha.com/images-nuxtcommerce/7570302-600-2.jpg, https://host.zackha.com/images-nuxtcommerce/7570302-600-3.jpg, https://host.zackha.com/images-nuxtcommerce/7570302-600-4.jpg, https://host.zackha.com/images-nuxtcommerce/7570302-600-5.jpg, https://host.zackha.com/images-nuxtcommerce/7570302-600-6.jpg</v>
      </c>
      <c r="G27" s="1" t="str">
        <f>IF(ISBLANK(formules!A27),"","Color")</f>
        <v>Color</v>
      </c>
      <c r="H27" s="1" t="str">
        <f>IF(ISBLANK(formules!A27),"",formules!D27)</f>
        <v>Red</v>
      </c>
      <c r="I27" s="1">
        <f>IF(ISBLANK(formules!A27),"",1)</f>
        <v>1</v>
      </c>
      <c r="J27" s="1">
        <f>IF(ISBLANK(formules!A27),"",1)</f>
        <v>1</v>
      </c>
      <c r="K27" s="1" t="str">
        <f>IF(ISBLANK(formules!A27),"","Size")</f>
        <v>Size</v>
      </c>
      <c r="L27" s="1" t="str">
        <f>IF(ISBLANK(formules!A27),"",formules!J27)</f>
        <v>XS, S, M, L</v>
      </c>
      <c r="M27" s="1">
        <f>IF(ISBLANK(formules!A27),"",1)</f>
        <v>1</v>
      </c>
      <c r="N27" s="1">
        <f>IF(ISBLANK(formules!A27),"",1)</f>
        <v>1</v>
      </c>
      <c r="O27" s="1" t="str">
        <f>IF(ISBLANK(formules!A27),"","Style")</f>
        <v>Style</v>
      </c>
      <c r="P27" s="1" t="str">
        <f>IF(ISBLANK(formules!A27),"",formules!C27)</f>
        <v>Vest</v>
      </c>
      <c r="Q27" s="1">
        <f>IF(ISBLANK(formules!A27),"",1)</f>
        <v>1</v>
      </c>
      <c r="R27" s="1">
        <f>IF(ISBLANK(formules!A27),"",1)</f>
        <v>1</v>
      </c>
    </row>
    <row r="28" spans="1:18" x14ac:dyDescent="0.2">
      <c r="A28" s="1" t="str">
        <f>IF(ISBLANK(formules!A28),"","variable")</f>
        <v>variable</v>
      </c>
      <c r="B28" s="1" t="str">
        <f>IF(ISBLANK(formules!A28),"",formules!E28)</f>
        <v>7570302-800</v>
      </c>
      <c r="C28" s="1" t="str">
        <f>IF(ISBLANK(formules!A28),"",formules!F28)</f>
        <v>Purl knit vest black</v>
      </c>
      <c r="D28" s="1" t="str">
        <f>IF(ISBLANK(formules!A28),"",formules!G28)</f>
        <v>&lt;ul&gt;&lt;li&gt;Model size:  S&lt;/li&gt;&lt;li&gt;Model height:  174 cm&lt;/li&gt;&lt;li&gt;Colour:  Black&lt;/li&gt;&lt;li&gt;Purl knit vest. Available in assorted colors.&lt;/li&gt;&lt;/ul&gt;</v>
      </c>
      <c r="E28" s="1" t="str">
        <f>IF(ISBLANK(formules!A28),"",formules!H28)</f>
        <v>Vests &gt; Vest, Vests</v>
      </c>
      <c r="F28" s="1" t="str">
        <f>IF(ISBLANK(formules!A28),"",formules!I28)</f>
        <v>https://host.zackha.com/images-nuxtcommerce/7570302-800-1.jpg, https://host.zackha.com/images-nuxtcommerce/7570302-800-2.jpg, https://host.zackha.com/images-nuxtcommerce/7570302-800-3.jpg, https://host.zackha.com/images-nuxtcommerce/7570302-800-4.jpg, https://host.zackha.com/images-nuxtcommerce/7570302-800-5.jpg, https://host.zackha.com/images-nuxtcommerce/7570302-800-6.jpg</v>
      </c>
      <c r="G28" s="1" t="str">
        <f>IF(ISBLANK(formules!A28),"","Color")</f>
        <v>Color</v>
      </c>
      <c r="H28" s="1" t="str">
        <f>IF(ISBLANK(formules!A28),"",formules!D28)</f>
        <v>Black</v>
      </c>
      <c r="I28" s="1">
        <f>IF(ISBLANK(formules!A28),"",1)</f>
        <v>1</v>
      </c>
      <c r="J28" s="1">
        <f>IF(ISBLANK(formules!A28),"",1)</f>
        <v>1</v>
      </c>
      <c r="K28" s="1" t="str">
        <f>IF(ISBLANK(formules!A28),"","Size")</f>
        <v>Size</v>
      </c>
      <c r="L28" s="1" t="str">
        <f>IF(ISBLANK(formules!A28),"",formules!J28)</f>
        <v>XS, S, M, L</v>
      </c>
      <c r="M28" s="1">
        <f>IF(ISBLANK(formules!A28),"",1)</f>
        <v>1</v>
      </c>
      <c r="N28" s="1">
        <f>IF(ISBLANK(formules!A28),"",1)</f>
        <v>1</v>
      </c>
      <c r="O28" s="1" t="str">
        <f>IF(ISBLANK(formules!A28),"","Style")</f>
        <v>Style</v>
      </c>
      <c r="P28" s="1" t="str">
        <f>IF(ISBLANK(formules!A28),"",formules!C28)</f>
        <v>Vest</v>
      </c>
      <c r="Q28" s="1">
        <f>IF(ISBLANK(formules!A28),"",1)</f>
        <v>1</v>
      </c>
      <c r="R28" s="1">
        <f>IF(ISBLANK(formules!A28),"",1)</f>
        <v>1</v>
      </c>
    </row>
    <row r="29" spans="1:18" x14ac:dyDescent="0.2">
      <c r="A29" s="1" t="str">
        <f>IF(ISBLANK(formules!A29),"","variable")</f>
        <v>variable</v>
      </c>
      <c r="B29" s="1" t="str">
        <f>IF(ISBLANK(formules!A29),"",formules!E29)</f>
        <v>7570302-506</v>
      </c>
      <c r="C29" s="1" t="str">
        <f>IF(ISBLANK(formules!A29),"",formules!F29)</f>
        <v>Purl knit vest pale khaki</v>
      </c>
      <c r="D29" s="1" t="str">
        <f>IF(ISBLANK(formules!A29),"",formules!G29)</f>
        <v>&lt;ul&gt;&lt;li&gt;Model size:  S&lt;/li&gt;&lt;li&gt;Model height:  174 cm&lt;/li&gt;&lt;li&gt;Colour:  Pale Khaki&lt;/li&gt;&lt;li&gt;Purl knit vest. Available in assorted colors.&lt;/li&gt;&lt;/ul&gt;</v>
      </c>
      <c r="E29" s="1" t="str">
        <f>IF(ISBLANK(formules!A29),"",formules!H29)</f>
        <v>Vests &gt; Vest, Vests</v>
      </c>
      <c r="F29" s="1" t="str">
        <f>IF(ISBLANK(formules!A29),"",formules!I29)</f>
        <v>https://host.zackha.com/images-nuxtcommerce/7570302-506-1.jpg, https://host.zackha.com/images-nuxtcommerce/7570302-506-2.jpg, https://host.zackha.com/images-nuxtcommerce/7570302-506-3.jpg, https://host.zackha.com/images-nuxtcommerce/7570302-506-4.jpg, https://host.zackha.com/images-nuxtcommerce/7570302-506-5.jpg, https://host.zackha.com/images-nuxtcommerce/7570302-506-6.jpg</v>
      </c>
      <c r="G29" s="1" t="str">
        <f>IF(ISBLANK(formules!A29),"","Color")</f>
        <v>Color</v>
      </c>
      <c r="H29" s="1" t="str">
        <f>IF(ISBLANK(formules!A29),"",formules!D29)</f>
        <v>Pale Khaki</v>
      </c>
      <c r="I29" s="1">
        <f>IF(ISBLANK(formules!A29),"",1)</f>
        <v>1</v>
      </c>
      <c r="J29" s="1">
        <f>IF(ISBLANK(formules!A29),"",1)</f>
        <v>1</v>
      </c>
      <c r="K29" s="1" t="str">
        <f>IF(ISBLANK(formules!A29),"","Size")</f>
        <v>Size</v>
      </c>
      <c r="L29" s="1" t="str">
        <f>IF(ISBLANK(formules!A29),"",formules!J29)</f>
        <v>XS, S, M, L</v>
      </c>
      <c r="M29" s="1">
        <f>IF(ISBLANK(formules!A29),"",1)</f>
        <v>1</v>
      </c>
      <c r="N29" s="1">
        <f>IF(ISBLANK(formules!A29),"",1)</f>
        <v>1</v>
      </c>
      <c r="O29" s="1" t="str">
        <f>IF(ISBLANK(formules!A29),"","Style")</f>
        <v>Style</v>
      </c>
      <c r="P29" s="1" t="str">
        <f>IF(ISBLANK(formules!A29),"",formules!C29)</f>
        <v>Vest</v>
      </c>
      <c r="Q29" s="1">
        <f>IF(ISBLANK(formules!A29),"",1)</f>
        <v>1</v>
      </c>
      <c r="R29" s="1">
        <f>IF(ISBLANK(formules!A29),"",1)</f>
        <v>1</v>
      </c>
    </row>
    <row r="30" spans="1:18" x14ac:dyDescent="0.2">
      <c r="A30" s="1" t="str">
        <f>IF(ISBLANK(formules!A30),"","variable")</f>
        <v>variable</v>
      </c>
      <c r="B30" s="1" t="str">
        <f>IF(ISBLANK(formules!A30),"",formules!E30)</f>
        <v>7593335-811</v>
      </c>
      <c r="C30" s="1" t="str">
        <f>IF(ISBLANK(formules!A30),"",formules!F30)</f>
        <v>Faded sweatshirt pale grey</v>
      </c>
      <c r="D30" s="1" t="str">
        <f>IF(ISBLANK(formules!A30),"",formules!G30)</f>
        <v>&lt;ul&gt;&lt;li&gt;Model size:  M&lt;/li&gt;&lt;li&gt;Model height:  177 cm&lt;/li&gt;&lt;li&gt;Colour:  Pale Grey&lt;/li&gt;&lt;li&gt;Faded sweatshirt with long sleeves, round neckline and ribbed collar, hem and cuffs.&lt;/li&gt;&lt;/ul&gt;</v>
      </c>
      <c r="E30" s="1" t="str">
        <f>IF(ISBLANK(formules!A30),"",formules!H30)</f>
        <v>Sweatshirts &amp; Hoodies &gt; Sweatshirts, Sweatshirts &amp; Hoodies</v>
      </c>
      <c r="F30" s="1" t="str">
        <f>IF(ISBLANK(formules!A30),"",formules!I30)</f>
        <v>https://host.zackha.com/images-nuxtcommerce/7593335-811-1.jpg, https://host.zackha.com/images-nuxtcommerce/7593335-811-2.jpg, https://host.zackha.com/images-nuxtcommerce/7593335-811-3.jpg, https://host.zackha.com/images-nuxtcommerce/7593335-811-4.jpg, https://host.zackha.com/images-nuxtcommerce/7593335-811-5.jpg, https://host.zackha.com/images-nuxtcommerce/7593335-811-6.jpg</v>
      </c>
      <c r="G30" s="1" t="str">
        <f>IF(ISBLANK(formules!A30),"","Color")</f>
        <v>Color</v>
      </c>
      <c r="H30" s="1" t="str">
        <f>IF(ISBLANK(formules!A30),"",formules!D30)</f>
        <v>Pale Grey</v>
      </c>
      <c r="I30" s="1">
        <f>IF(ISBLANK(formules!A30),"",1)</f>
        <v>1</v>
      </c>
      <c r="J30" s="1">
        <f>IF(ISBLANK(formules!A30),"",1)</f>
        <v>1</v>
      </c>
      <c r="K30" s="1" t="str">
        <f>IF(ISBLANK(formules!A30),"","Size")</f>
        <v>Size</v>
      </c>
      <c r="L30" s="1" t="str">
        <f>IF(ISBLANK(formules!A30),"",formules!J30)</f>
        <v>XXS, XS, S, M, L, XL</v>
      </c>
      <c r="M30" s="1">
        <f>IF(ISBLANK(formules!A30),"",1)</f>
        <v>1</v>
      </c>
      <c r="N30" s="1">
        <f>IF(ISBLANK(formules!A30),"",1)</f>
        <v>1</v>
      </c>
      <c r="O30" s="1" t="str">
        <f>IF(ISBLANK(formules!A30),"","Style")</f>
        <v>Style</v>
      </c>
      <c r="P30" s="1" t="str">
        <f>IF(ISBLANK(formules!A30),"",formules!C30)</f>
        <v>Sweatshirt</v>
      </c>
      <c r="Q30" s="1">
        <f>IF(ISBLANK(formules!A30),"",1)</f>
        <v>1</v>
      </c>
      <c r="R30" s="1">
        <f>IF(ISBLANK(formules!A30),"",1)</f>
        <v>1</v>
      </c>
    </row>
    <row r="31" spans="1:18" x14ac:dyDescent="0.2">
      <c r="A31" s="1" t="str">
        <f>IF(ISBLANK(formules!A31),"","variable")</f>
        <v>variable</v>
      </c>
      <c r="B31" s="1" t="str">
        <f>IF(ISBLANK(formules!A31),"",formules!E31)</f>
        <v>7593335-405</v>
      </c>
      <c r="C31" s="1" t="str">
        <f>IF(ISBLANK(formules!A31),"",formules!F31)</f>
        <v>Faded sweatshirt ındigo</v>
      </c>
      <c r="D31" s="1" t="str">
        <f>IF(ISBLANK(formules!A31),"",formules!G31)</f>
        <v>&lt;ul&gt;&lt;li&gt;Model size:  M&lt;/li&gt;&lt;li&gt;Model height:  177 cm&lt;/li&gt;&lt;li&gt;Colour:  Indigo&lt;/li&gt;&lt;li&gt;Faded sweatshirt with long sleeves, round neckline and ribbed collar, hem and cuffs.&lt;/li&gt;&lt;/ul&gt;</v>
      </c>
      <c r="E31" s="1" t="str">
        <f>IF(ISBLANK(formules!A31),"",formules!H31)</f>
        <v>Sweatshirts &amp; Hoodies &gt; Sweatshirts, Sweatshirts &amp; Hoodies</v>
      </c>
      <c r="F31" s="1" t="str">
        <f>IF(ISBLANK(formules!A31),"",formules!I31)</f>
        <v>https://host.zackha.com/images-nuxtcommerce/7593335-405-1.jpg, https://host.zackha.com/images-nuxtcommerce/7593335-405-2.jpg, https://host.zackha.com/images-nuxtcommerce/7593335-405-3.jpg, https://host.zackha.com/images-nuxtcommerce/7593335-405-4.jpg, https://host.zackha.com/images-nuxtcommerce/7593335-405-5.jpg, https://host.zackha.com/images-nuxtcommerce/7593335-405-6.jpg</v>
      </c>
      <c r="G31" s="1" t="str">
        <f>IF(ISBLANK(formules!A31),"","Color")</f>
        <v>Color</v>
      </c>
      <c r="H31" s="1" t="str">
        <f>IF(ISBLANK(formules!A31),"",formules!D31)</f>
        <v>Indigo</v>
      </c>
      <c r="I31" s="1">
        <f>IF(ISBLANK(formules!A31),"",1)</f>
        <v>1</v>
      </c>
      <c r="J31" s="1">
        <f>IF(ISBLANK(formules!A31),"",1)</f>
        <v>1</v>
      </c>
      <c r="K31" s="1" t="str">
        <f>IF(ISBLANK(formules!A31),"","Size")</f>
        <v>Size</v>
      </c>
      <c r="L31" s="1" t="str">
        <f>IF(ISBLANK(formules!A31),"",formules!J31)</f>
        <v>XXS, XS, S, M, L, XL</v>
      </c>
      <c r="M31" s="1">
        <f>IF(ISBLANK(formules!A31),"",1)</f>
        <v>1</v>
      </c>
      <c r="N31" s="1">
        <f>IF(ISBLANK(formules!A31),"",1)</f>
        <v>1</v>
      </c>
      <c r="O31" s="1" t="str">
        <f>IF(ISBLANK(formules!A31),"","Style")</f>
        <v>Style</v>
      </c>
      <c r="P31" s="1" t="str">
        <f>IF(ISBLANK(formules!A31),"",formules!C31)</f>
        <v>Sweatshirt</v>
      </c>
      <c r="Q31" s="1">
        <f>IF(ISBLANK(formules!A31),"",1)</f>
        <v>1</v>
      </c>
      <c r="R31" s="1">
        <f>IF(ISBLANK(formules!A31),"",1)</f>
        <v>1</v>
      </c>
    </row>
    <row r="32" spans="1:18" x14ac:dyDescent="0.2">
      <c r="A32" s="1" t="str">
        <f>IF(ISBLANK(formules!A32),"","variable")</f>
        <v>variable</v>
      </c>
      <c r="B32" s="1" t="str">
        <f>IF(ISBLANK(formules!A32),"",formules!E32)</f>
        <v>7593335-506</v>
      </c>
      <c r="C32" s="1" t="str">
        <f>IF(ISBLANK(formules!A32),"",formules!F32)</f>
        <v>Faded sweatshirt pale khaki</v>
      </c>
      <c r="D32" s="1" t="str">
        <f>IF(ISBLANK(formules!A32),"",formules!G32)</f>
        <v>&lt;ul&gt;&lt;li&gt;Model size:  M&lt;/li&gt;&lt;li&gt;Model height:  177 cm&lt;/li&gt;&lt;li&gt;Colour:  Pale Khaki&lt;/li&gt;&lt;li&gt;Faded sweatshirt with long sleeves, round neckline and ribbed collar, hem and cuffs.&lt;/li&gt;&lt;/ul&gt;</v>
      </c>
      <c r="E32" s="1" t="str">
        <f>IF(ISBLANK(formules!A32),"",formules!H32)</f>
        <v>Sweatshirts &amp; Hoodies &gt; Sweatshirts, Sweatshirts &amp; Hoodies</v>
      </c>
      <c r="F32" s="1" t="str">
        <f>IF(ISBLANK(formules!A32),"",formules!I32)</f>
        <v>https://host.zackha.com/images-nuxtcommerce/7593335-506-1.jpg, https://host.zackha.com/images-nuxtcommerce/7593335-506-2.jpg, https://host.zackha.com/images-nuxtcommerce/7593335-506-3.jpg, https://host.zackha.com/images-nuxtcommerce/7593335-506-4.jpg, https://host.zackha.com/images-nuxtcommerce/7593335-506-5.jpg, https://host.zackha.com/images-nuxtcommerce/7593335-506-6.jpg</v>
      </c>
      <c r="G32" s="1" t="str">
        <f>IF(ISBLANK(formules!A32),"","Color")</f>
        <v>Color</v>
      </c>
      <c r="H32" s="1" t="str">
        <f>IF(ISBLANK(formules!A32),"",formules!D32)</f>
        <v>Pale Khaki</v>
      </c>
      <c r="I32" s="1">
        <f>IF(ISBLANK(formules!A32),"",1)</f>
        <v>1</v>
      </c>
      <c r="J32" s="1">
        <f>IF(ISBLANK(formules!A32),"",1)</f>
        <v>1</v>
      </c>
      <c r="K32" s="1" t="str">
        <f>IF(ISBLANK(formules!A32),"","Size")</f>
        <v>Size</v>
      </c>
      <c r="L32" s="1" t="str">
        <f>IF(ISBLANK(formules!A32),"",formules!J32)</f>
        <v>XXS, XS, S, M, L, XL</v>
      </c>
      <c r="M32" s="1">
        <f>IF(ISBLANK(formules!A32),"",1)</f>
        <v>1</v>
      </c>
      <c r="N32" s="1">
        <f>IF(ISBLANK(formules!A32),"",1)</f>
        <v>1</v>
      </c>
      <c r="O32" s="1" t="str">
        <f>IF(ISBLANK(formules!A32),"","Style")</f>
        <v>Style</v>
      </c>
      <c r="P32" s="1" t="str">
        <f>IF(ISBLANK(formules!A32),"",formules!C32)</f>
        <v>Sweatshirt</v>
      </c>
      <c r="Q32" s="1">
        <f>IF(ISBLANK(formules!A32),"",1)</f>
        <v>1</v>
      </c>
      <c r="R32" s="1">
        <f>IF(ISBLANK(formules!A32),"",1)</f>
        <v>1</v>
      </c>
    </row>
    <row r="33" spans="1:18" x14ac:dyDescent="0.2">
      <c r="A33" s="1" t="str">
        <f>IF(ISBLANK(formules!A33),"","variable")</f>
        <v>variable</v>
      </c>
      <c r="B33" s="1" t="str">
        <f>IF(ISBLANK(formules!A33),"",formules!E33)</f>
        <v>7640311-711</v>
      </c>
      <c r="C33" s="1" t="str">
        <f>IF(ISBLANK(formules!A33),"",formules!F33)</f>
        <v>Crochet jumpsuit sand</v>
      </c>
      <c r="D33" s="1" t="str">
        <f>IF(ISBLANK(formules!A33),"",formules!G33)</f>
        <v>&lt;ul&gt;&lt;li&gt;Model size:  S&lt;/li&gt;&lt;li&gt;Model height:  176 cm&lt;/li&gt;&lt;li&gt;Colour:  Sand&lt;/li&gt;&lt;li&gt;Crochet knit romper with openwork detail and tassels, a halter neck and an open back. No lining.&lt;/li&gt;&lt;/ul&gt;</v>
      </c>
      <c r="E33" s="1" t="str">
        <f>IF(ISBLANK(formules!A33),"",formules!H33)</f>
        <v>Jumpsuits &gt; Jumpsuit, Jumpsuits</v>
      </c>
      <c r="F33" s="1" t="str">
        <f>IF(ISBLANK(formules!A33),"",formules!I33)</f>
        <v>https://host.zackha.com/images-nuxtcommerce/7640311-711-1.jpg, https://host.zackha.com/images-nuxtcommerce/7640311-711-2.jpg, https://host.zackha.com/images-nuxtcommerce/7640311-711-3.jpg, https://host.zackha.com/images-nuxtcommerce/7640311-711-4.jpg, https://host.zackha.com/images-nuxtcommerce/7640311-711-5.jpg, https://host.zackha.com/images-nuxtcommerce/7640311-711-6.jpg</v>
      </c>
      <c r="G33" s="1" t="str">
        <f>IF(ISBLANK(formules!A33),"","Color")</f>
        <v>Color</v>
      </c>
      <c r="H33" s="1" t="str">
        <f>IF(ISBLANK(formules!A33),"",formules!D33)</f>
        <v>Sand</v>
      </c>
      <c r="I33" s="1">
        <f>IF(ISBLANK(formules!A33),"",1)</f>
        <v>1</v>
      </c>
      <c r="J33" s="1">
        <f>IF(ISBLANK(formules!A33),"",1)</f>
        <v>1</v>
      </c>
      <c r="K33" s="1" t="str">
        <f>IF(ISBLANK(formules!A33),"","Size")</f>
        <v>Size</v>
      </c>
      <c r="L33" s="1" t="str">
        <f>IF(ISBLANK(formules!A33),"",formules!J33)</f>
        <v>S, M, L</v>
      </c>
      <c r="M33" s="1">
        <f>IF(ISBLANK(formules!A33),"",1)</f>
        <v>1</v>
      </c>
      <c r="N33" s="1">
        <f>IF(ISBLANK(formules!A33),"",1)</f>
        <v>1</v>
      </c>
      <c r="O33" s="1" t="str">
        <f>IF(ISBLANK(formules!A33),"","Style")</f>
        <v>Style</v>
      </c>
      <c r="P33" s="1" t="str">
        <f>IF(ISBLANK(formules!A33),"",formules!C33)</f>
        <v>Jumpsuit</v>
      </c>
      <c r="Q33" s="1">
        <f>IF(ISBLANK(formules!A33),"",1)</f>
        <v>1</v>
      </c>
      <c r="R33" s="1">
        <f>IF(ISBLANK(formules!A33),"",1)</f>
        <v>1</v>
      </c>
    </row>
    <row r="34" spans="1:18" x14ac:dyDescent="0.2">
      <c r="A34" s="1" t="str">
        <f>IF(ISBLANK(formules!A34),"","variable")</f>
        <v>variable</v>
      </c>
      <c r="B34" s="1" t="str">
        <f>IF(ISBLANK(formules!A34),"",formules!E34)</f>
        <v>7686330-807</v>
      </c>
      <c r="C34" s="1" t="str">
        <f>IF(ISBLANK(formules!A34),"",formules!F34)</f>
        <v>Basic mom jeans anthracite grey</v>
      </c>
      <c r="D34" s="1" t="str">
        <f>IF(ISBLANK(formules!A34),"",formules!G34)</f>
        <v>&lt;ul&gt;&lt;li&gt;Model size:  28-29&lt;/li&gt;&lt;li&gt;Model height:  178 cm&lt;/li&gt;&lt;li&gt;Colour:  Anthracite Grey&lt;/li&gt;&lt;li&gt;Basic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E34" s="1" t="str">
        <f>IF(ISBLANK(formules!A34),"",formules!H34)</f>
        <v>Jeans &gt; Jean, Jeans</v>
      </c>
      <c r="F34" s="1" t="str">
        <f>IF(ISBLANK(formules!A34),"",formules!I34)</f>
        <v>https://host.zackha.com/images-nuxtcommerce/7686330-807-1.jpg, https://host.zackha.com/images-nuxtcommerce/7686330-807-2.jpg, https://host.zackha.com/images-nuxtcommerce/7686330-807-3.jpg, https://host.zackha.com/images-nuxtcommerce/7686330-807-4.jpg, https://host.zackha.com/images-nuxtcommerce/7686330-807-5.jpg, https://host.zackha.com/images-nuxtcommerce/7686330-807-6.jpg</v>
      </c>
      <c r="G34" s="1" t="str">
        <f>IF(ISBLANK(formules!A34),"","Color")</f>
        <v>Color</v>
      </c>
      <c r="H34" s="1" t="str">
        <f>IF(ISBLANK(formules!A34),"",formules!D34)</f>
        <v>Anthracite Grey</v>
      </c>
      <c r="I34" s="1">
        <f>IF(ISBLANK(formules!A34),"",1)</f>
        <v>1</v>
      </c>
      <c r="J34" s="1">
        <f>IF(ISBLANK(formules!A34),"",1)</f>
        <v>1</v>
      </c>
      <c r="K34" s="1" t="str">
        <f>IF(ISBLANK(formules!A34),"","Size")</f>
        <v>Size</v>
      </c>
      <c r="L34" s="1" t="str">
        <f>IF(ISBLANK(formules!A34),"",formules!J34)</f>
        <v>23-24, 25, 26-27, 28-29, 30, 31-32, 33, 34-35</v>
      </c>
      <c r="M34" s="1">
        <f>IF(ISBLANK(formules!A34),"",1)</f>
        <v>1</v>
      </c>
      <c r="N34" s="1">
        <f>IF(ISBLANK(formules!A34),"",1)</f>
        <v>1</v>
      </c>
      <c r="O34" s="1" t="str">
        <f>IF(ISBLANK(formules!A34),"","Style")</f>
        <v>Style</v>
      </c>
      <c r="P34" s="1" t="str">
        <f>IF(ISBLANK(formules!A34),"",formules!C34)</f>
        <v>Jean</v>
      </c>
      <c r="Q34" s="1">
        <f>IF(ISBLANK(formules!A34),"",1)</f>
        <v>1</v>
      </c>
      <c r="R34" s="1">
        <f>IF(ISBLANK(formules!A34),"",1)</f>
        <v>1</v>
      </c>
    </row>
    <row r="35" spans="1:18" x14ac:dyDescent="0.2">
      <c r="A35" s="1" t="str">
        <f>IF(ISBLANK(formules!A35),"","variable")</f>
        <v>variable</v>
      </c>
      <c r="B35" s="1" t="str">
        <f>IF(ISBLANK(formules!A35),"",formules!E35)</f>
        <v>7686330-426</v>
      </c>
      <c r="C35" s="1" t="str">
        <f>IF(ISBLANK(formules!A35),"",formules!F35)</f>
        <v>Basic mom jeans water blue</v>
      </c>
      <c r="D35" s="1" t="str">
        <f>IF(ISBLANK(formules!A35),"",formules!G35)</f>
        <v>&lt;ul&gt;&lt;li&gt;Model size:  28-29&lt;/li&gt;&lt;li&gt;Model height:  178 cm&lt;/li&gt;&lt;li&gt;Colour:  Water Blue&lt;/li&gt;&lt;li&gt;Basic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E35" s="1" t="str">
        <f>IF(ISBLANK(formules!A35),"",formules!H35)</f>
        <v>Jeans &gt; Jean, Jeans</v>
      </c>
      <c r="F35" s="1" t="str">
        <f>IF(ISBLANK(formules!A35),"",formules!I35)</f>
        <v>https://host.zackha.com/images-nuxtcommerce/7686330-426-1.jpg, https://host.zackha.com/images-nuxtcommerce/7686330-426-2.jpg, https://host.zackha.com/images-nuxtcommerce/7686330-426-3.jpg, https://host.zackha.com/images-nuxtcommerce/7686330-426-4.jpg, https://host.zackha.com/images-nuxtcommerce/7686330-426-5.jpg, https://host.zackha.com/images-nuxtcommerce/7686330-426-6.jpg</v>
      </c>
      <c r="G35" s="1" t="str">
        <f>IF(ISBLANK(formules!A35),"","Color")</f>
        <v>Color</v>
      </c>
      <c r="H35" s="1" t="str">
        <f>IF(ISBLANK(formules!A35),"",formules!D35)</f>
        <v>Water Blue</v>
      </c>
      <c r="I35" s="1">
        <f>IF(ISBLANK(formules!A35),"",1)</f>
        <v>1</v>
      </c>
      <c r="J35" s="1">
        <f>IF(ISBLANK(formules!A35),"",1)</f>
        <v>1</v>
      </c>
      <c r="K35" s="1" t="str">
        <f>IF(ISBLANK(formules!A35),"","Size")</f>
        <v>Size</v>
      </c>
      <c r="L35" s="1" t="str">
        <f>IF(ISBLANK(formules!A35),"",formules!J35)</f>
        <v>23-24, 25, 26-27, 28-29, 30, 31-32, 33, 34-35</v>
      </c>
      <c r="M35" s="1">
        <f>IF(ISBLANK(formules!A35),"",1)</f>
        <v>1</v>
      </c>
      <c r="N35" s="1">
        <f>IF(ISBLANK(formules!A35),"",1)</f>
        <v>1</v>
      </c>
      <c r="O35" s="1" t="str">
        <f>IF(ISBLANK(formules!A35),"","Style")</f>
        <v>Style</v>
      </c>
      <c r="P35" s="1" t="str">
        <f>IF(ISBLANK(formules!A35),"",formules!C35)</f>
        <v>Jean</v>
      </c>
      <c r="Q35" s="1">
        <f>IF(ISBLANK(formules!A35),"",1)</f>
        <v>1</v>
      </c>
      <c r="R35" s="1">
        <f>IF(ISBLANK(formules!A35),"",1)</f>
        <v>1</v>
      </c>
    </row>
    <row r="36" spans="1:18" x14ac:dyDescent="0.2">
      <c r="A36" s="1" t="str">
        <f>IF(ISBLANK(formules!A36),"","variable")</f>
        <v>variable</v>
      </c>
      <c r="B36" s="1" t="str">
        <f>IF(ISBLANK(formules!A36),"",formules!E36)</f>
        <v>7686330-401</v>
      </c>
      <c r="C36" s="1" t="str">
        <f>IF(ISBLANK(formules!A36),"",formules!F36)</f>
        <v>Basic mom jeans navy</v>
      </c>
      <c r="D36" s="1" t="str">
        <f>IF(ISBLANK(formules!A36),"",formules!G36)</f>
        <v>&lt;ul&gt;&lt;li&gt;Model size:  28-29&lt;/li&gt;&lt;li&gt;Model height:  178 cm&lt;/li&gt;&lt;li&gt;Colour:  Navy&lt;/li&gt;&lt;li&gt;Basic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E36" s="1" t="str">
        <f>IF(ISBLANK(formules!A36),"",formules!H36)</f>
        <v>Jeans &gt; Jean, Jeans</v>
      </c>
      <c r="F36" s="1" t="str">
        <f>IF(ISBLANK(formules!A36),"",formules!I36)</f>
        <v>https://host.zackha.com/images-nuxtcommerce/7686330-401-1.jpg, https://host.zackha.com/images-nuxtcommerce/7686330-401-2.jpg, https://host.zackha.com/images-nuxtcommerce/7686330-401-3.jpg, https://host.zackha.com/images-nuxtcommerce/7686330-401-4.jpg, https://host.zackha.com/images-nuxtcommerce/7686330-401-5.jpg, https://host.zackha.com/images-nuxtcommerce/7686330-401-6.jpg</v>
      </c>
      <c r="G36" s="1" t="str">
        <f>IF(ISBLANK(formules!A36),"","Color")</f>
        <v>Color</v>
      </c>
      <c r="H36" s="1" t="str">
        <f>IF(ISBLANK(formules!A36),"",formules!D36)</f>
        <v>Navy</v>
      </c>
      <c r="I36" s="1">
        <f>IF(ISBLANK(formules!A36),"",1)</f>
        <v>1</v>
      </c>
      <c r="J36" s="1">
        <f>IF(ISBLANK(formules!A36),"",1)</f>
        <v>1</v>
      </c>
      <c r="K36" s="1" t="str">
        <f>IF(ISBLANK(formules!A36),"","Size")</f>
        <v>Size</v>
      </c>
      <c r="L36" s="1" t="str">
        <f>IF(ISBLANK(formules!A36),"",formules!J36)</f>
        <v>23-24, 25, 26-27, 28-29, 30, 31-32, 33, 34-35</v>
      </c>
      <c r="M36" s="1">
        <f>IF(ISBLANK(formules!A36),"",1)</f>
        <v>1</v>
      </c>
      <c r="N36" s="1">
        <f>IF(ISBLANK(formules!A36),"",1)</f>
        <v>1</v>
      </c>
      <c r="O36" s="1" t="str">
        <f>IF(ISBLANK(formules!A36),"","Style")</f>
        <v>Style</v>
      </c>
      <c r="P36" s="1" t="str">
        <f>IF(ISBLANK(formules!A36),"",formules!C36)</f>
        <v>Jean</v>
      </c>
      <c r="Q36" s="1">
        <f>IF(ISBLANK(formules!A36),"",1)</f>
        <v>1</v>
      </c>
      <c r="R36" s="1">
        <f>IF(ISBLANK(formules!A36),"",1)</f>
        <v>1</v>
      </c>
    </row>
    <row r="37" spans="1:18" x14ac:dyDescent="0.2">
      <c r="A37" s="1" t="str">
        <f>IF(ISBLANK(formules!A37),"","variable")</f>
        <v>variable</v>
      </c>
      <c r="B37" s="1" t="str">
        <f>IF(ISBLANK(formules!A37),"",formules!E37)</f>
        <v>7686330-428</v>
      </c>
      <c r="C37" s="1" t="str">
        <f>IF(ISBLANK(formules!A37),"",formules!F37)</f>
        <v>Basic mom jeans faded blue</v>
      </c>
      <c r="D37" s="1" t="str">
        <f>IF(ISBLANK(formules!A37),"",formules!G37)</f>
        <v>&lt;ul&gt;&lt;li&gt;Model size:  28-29&lt;/li&gt;&lt;li&gt;Model height:  178 cm&lt;/li&gt;&lt;li&gt;Colour:  Faded Blue&lt;/li&gt;&lt;li&gt;Basic mom jeans with a five-pocket design, belt loops, and zipper fly and top button fastening. Made from stiff 100% cotton. Inseam length: 70.40 cm. Difference to the standard length model: Petite: - 7 cm; Tall: + 6 cm.&lt;/li&gt;&lt;/ul&gt;</v>
      </c>
      <c r="E37" s="1" t="str">
        <f>IF(ISBLANK(formules!A37),"",formules!H37)</f>
        <v>Jeans &gt; Jean, Jeans</v>
      </c>
      <c r="F37" s="1" t="str">
        <f>IF(ISBLANK(formules!A37),"",formules!I37)</f>
        <v>https://host.zackha.com/images-nuxtcommerce/7686330-428-1.jpg, https://host.zackha.com/images-nuxtcommerce/7686330-428-2.jpg, https://host.zackha.com/images-nuxtcommerce/7686330-428-3.jpg, https://host.zackha.com/images-nuxtcommerce/7686330-428-4.jpg, https://host.zackha.com/images-nuxtcommerce/7686330-428-5.jpg, https://host.zackha.com/images-nuxtcommerce/7686330-428-6.jpg</v>
      </c>
      <c r="G37" s="1" t="str">
        <f>IF(ISBLANK(formules!A37),"","Color")</f>
        <v>Color</v>
      </c>
      <c r="H37" s="1" t="str">
        <f>IF(ISBLANK(formules!A37),"",formules!D37)</f>
        <v>Faded Blue</v>
      </c>
      <c r="I37" s="1">
        <f>IF(ISBLANK(formules!A37),"",1)</f>
        <v>1</v>
      </c>
      <c r="J37" s="1">
        <f>IF(ISBLANK(formules!A37),"",1)</f>
        <v>1</v>
      </c>
      <c r="K37" s="1" t="str">
        <f>IF(ISBLANK(formules!A37),"","Size")</f>
        <v>Size</v>
      </c>
      <c r="L37" s="1" t="str">
        <f>IF(ISBLANK(formules!A37),"",formules!J37)</f>
        <v>23-24, 25, 26-27, 28-29, 30, 31-32, 33, 34-35</v>
      </c>
      <c r="M37" s="1">
        <f>IF(ISBLANK(formules!A37),"",1)</f>
        <v>1</v>
      </c>
      <c r="N37" s="1">
        <f>IF(ISBLANK(formules!A37),"",1)</f>
        <v>1</v>
      </c>
      <c r="O37" s="1" t="str">
        <f>IF(ISBLANK(formules!A37),"","Style")</f>
        <v>Style</v>
      </c>
      <c r="P37" s="1" t="str">
        <f>IF(ISBLANK(formules!A37),"",formules!C37)</f>
        <v>Jean</v>
      </c>
      <c r="Q37" s="1">
        <f>IF(ISBLANK(formules!A37),"",1)</f>
        <v>1</v>
      </c>
      <c r="R37" s="1">
        <f>IF(ISBLANK(formules!A37),"",1)</f>
        <v>1</v>
      </c>
    </row>
    <row r="38" spans="1:18" x14ac:dyDescent="0.2">
      <c r="A38" s="1" t="str">
        <f>IF(ISBLANK(formules!A38),"","variable")</f>
        <v>variable</v>
      </c>
      <c r="B38" s="1" t="str">
        <f>IF(ISBLANK(formules!A38),"",formules!E38)</f>
        <v>7693326-423</v>
      </c>
      <c r="C38" s="1" t="str">
        <f>IF(ISBLANK(formules!A38),"",formules!F38)</f>
        <v>Blue striped boxer shorts pastel blue</v>
      </c>
      <c r="D38" s="1" t="str">
        <f>IF(ISBLANK(formules!A38),"",formules!G38)</f>
        <v>&lt;ul&gt;&lt;li&gt;Model size:  S&lt;/li&gt;&lt;li&gt;Model height:  175 cm&lt;/li&gt;&lt;li&gt;Colour:  Pastel Blue&lt;/li&gt;&lt;li&gt;Pajama-style boxer shorts with a striped print in white and blue tones and an elasticated waistband. Made of 100% cotton.&lt;/li&gt;&lt;/ul&gt;</v>
      </c>
      <c r="E38" s="1" t="str">
        <f>IF(ISBLANK(formules!A38),"",formules!H38)</f>
        <v>Shorts &gt; Short, Shorts</v>
      </c>
      <c r="F38" s="1" t="str">
        <f>IF(ISBLANK(formules!A38),"",formules!I38)</f>
        <v>https://host.zackha.com/images-nuxtcommerce/7693326-423-1.jpg, https://host.zackha.com/images-nuxtcommerce/7693326-423-2.jpg, https://host.zackha.com/images-nuxtcommerce/7693326-423-3.jpg, https://host.zackha.com/images-nuxtcommerce/7693326-423-4.jpg, https://host.zackha.com/images-nuxtcommerce/7693326-423-5.jpg, https://host.zackha.com/images-nuxtcommerce/7693326-423-6.jpg</v>
      </c>
      <c r="G38" s="1" t="str">
        <f>IF(ISBLANK(formules!A38),"","Color")</f>
        <v>Color</v>
      </c>
      <c r="H38" s="1" t="str">
        <f>IF(ISBLANK(formules!A38),"",formules!D38)</f>
        <v>Pastel Blue</v>
      </c>
      <c r="I38" s="1">
        <f>IF(ISBLANK(formules!A38),"",1)</f>
        <v>1</v>
      </c>
      <c r="J38" s="1">
        <f>IF(ISBLANK(formules!A38),"",1)</f>
        <v>1</v>
      </c>
      <c r="K38" s="1" t="str">
        <f>IF(ISBLANK(formules!A38),"","Size")</f>
        <v>Size</v>
      </c>
      <c r="L38" s="1" t="str">
        <f>IF(ISBLANK(formules!A38),"",formules!J38)</f>
        <v>XS, S, M, L, XL</v>
      </c>
      <c r="M38" s="1">
        <f>IF(ISBLANK(formules!A38),"",1)</f>
        <v>1</v>
      </c>
      <c r="N38" s="1">
        <f>IF(ISBLANK(formules!A38),"",1)</f>
        <v>1</v>
      </c>
      <c r="O38" s="1" t="str">
        <f>IF(ISBLANK(formules!A38),"","Style")</f>
        <v>Style</v>
      </c>
      <c r="P38" s="1" t="str">
        <f>IF(ISBLANK(formules!A38),"",formules!C38)</f>
        <v>Short</v>
      </c>
      <c r="Q38" s="1">
        <f>IF(ISBLANK(formules!A38),"",1)</f>
        <v>1</v>
      </c>
      <c r="R38" s="1">
        <f>IF(ISBLANK(formules!A38),"",1)</f>
        <v>1</v>
      </c>
    </row>
    <row r="39" spans="1:18" x14ac:dyDescent="0.2">
      <c r="A39" s="1" t="str">
        <f>IF(ISBLANK(formules!A39),"","variable")</f>
        <v>variable</v>
      </c>
      <c r="B39" s="1" t="str">
        <f>IF(ISBLANK(formules!A39),"",formules!E39)</f>
        <v>7693406-420</v>
      </c>
      <c r="C39" s="1" t="str">
        <f>IF(ISBLANK(formules!A39),"",formules!F39)</f>
        <v>Fitted shorts with fold-over waist detail deep blue</v>
      </c>
      <c r="D39" s="1" t="str">
        <f>IF(ISBLANK(formules!A39),"",formules!G39)</f>
        <v>&lt;ul&gt;&lt;li&gt;Model size:  S&lt;/li&gt;&lt;li&gt;Model height:  175 cm&lt;/li&gt;&lt;li&gt;Colour:  Deep Blue&lt;/li&gt;&lt;li&gt;Fitted shorts with fold-over waist detail. Made of stretch fabric.&lt;/li&gt;&lt;/ul&gt;</v>
      </c>
      <c r="E39" s="1" t="str">
        <f>IF(ISBLANK(formules!A39),"",formules!H39)</f>
        <v>Shorts &gt; Short, Shorts</v>
      </c>
      <c r="F39" s="1" t="str">
        <f>IF(ISBLANK(formules!A39),"",formules!I39)</f>
        <v>https://host.zackha.com/images-nuxtcommerce/7693406-420-1.jpg, https://host.zackha.com/images-nuxtcommerce/7693406-420-2.jpg, https://host.zackha.com/images-nuxtcommerce/7693406-420-3.jpg, https://host.zackha.com/images-nuxtcommerce/7693406-420-4.jpg, https://host.zackha.com/images-nuxtcommerce/7693406-420-5.jpg, https://host.zackha.com/images-nuxtcommerce/7693406-420-6.jpg</v>
      </c>
      <c r="G39" s="1" t="str">
        <f>IF(ISBLANK(formules!A39),"","Color")</f>
        <v>Color</v>
      </c>
      <c r="H39" s="1" t="str">
        <f>IF(ISBLANK(formules!A39),"",formules!D39)</f>
        <v>Deep Blue</v>
      </c>
      <c r="I39" s="1">
        <f>IF(ISBLANK(formules!A39),"",1)</f>
        <v>1</v>
      </c>
      <c r="J39" s="1">
        <f>IF(ISBLANK(formules!A39),"",1)</f>
        <v>1</v>
      </c>
      <c r="K39" s="1" t="str">
        <f>IF(ISBLANK(formules!A39),"","Size")</f>
        <v>Size</v>
      </c>
      <c r="L39" s="1" t="str">
        <f>IF(ISBLANK(formules!A39),"",formules!J39)</f>
        <v>XS, S, M, L, XL</v>
      </c>
      <c r="M39" s="1">
        <f>IF(ISBLANK(formules!A39),"",1)</f>
        <v>1</v>
      </c>
      <c r="N39" s="1">
        <f>IF(ISBLANK(formules!A39),"",1)</f>
        <v>1</v>
      </c>
      <c r="O39" s="1" t="str">
        <f>IF(ISBLANK(formules!A39),"","Style")</f>
        <v>Style</v>
      </c>
      <c r="P39" s="1" t="str">
        <f>IF(ISBLANK(formules!A39),"",formules!C39)</f>
        <v>Short</v>
      </c>
      <c r="Q39" s="1">
        <f>IF(ISBLANK(formules!A39),"",1)</f>
        <v>1</v>
      </c>
      <c r="R39" s="1">
        <f>IF(ISBLANK(formules!A39),"",1)</f>
        <v>1</v>
      </c>
    </row>
    <row r="40" spans="1:18" x14ac:dyDescent="0.2">
      <c r="A40" s="1" t="str">
        <f>IF(ISBLANK(formules!A40),"","variable")</f>
        <v>variable</v>
      </c>
      <c r="B40" s="1" t="str">
        <f>IF(ISBLANK(formules!A40),"",formules!E40)</f>
        <v>7693406-306</v>
      </c>
      <c r="C40" s="1" t="str">
        <f>IF(ISBLANK(formules!A40),"",formules!F40)</f>
        <v>Fitted shorts with fold-over waist detail pale yellow</v>
      </c>
      <c r="D40" s="1" t="str">
        <f>IF(ISBLANK(formules!A40),"",formules!G40)</f>
        <v>&lt;ul&gt;&lt;li&gt;Model size:  S&lt;/li&gt;&lt;li&gt;Model height:  175 cm&lt;/li&gt;&lt;li&gt;Colour:  Pale Yellow&lt;/li&gt;&lt;li&gt;Fitted shorts with fold-over waist detail. Made of stretch fabric.&lt;/li&gt;&lt;/ul&gt;</v>
      </c>
      <c r="E40" s="1" t="str">
        <f>IF(ISBLANK(formules!A40),"",formules!H40)</f>
        <v>Shorts &gt; Short, Shorts</v>
      </c>
      <c r="F40" s="1" t="str">
        <f>IF(ISBLANK(formules!A40),"",formules!I40)</f>
        <v>https://host.zackha.com/images-nuxtcommerce/7693406-306-1.jpg, https://host.zackha.com/images-nuxtcommerce/7693406-306-2.jpg, https://host.zackha.com/images-nuxtcommerce/7693406-306-3.jpg, https://host.zackha.com/images-nuxtcommerce/7693406-306-4.jpg, https://host.zackha.com/images-nuxtcommerce/7693406-306-5.jpg, https://host.zackha.com/images-nuxtcommerce/7693406-306-6.jpg</v>
      </c>
      <c r="G40" s="1" t="str">
        <f>IF(ISBLANK(formules!A40),"","Color")</f>
        <v>Color</v>
      </c>
      <c r="H40" s="1" t="str">
        <f>IF(ISBLANK(formules!A40),"",formules!D40)</f>
        <v>Pale Yellow</v>
      </c>
      <c r="I40" s="1">
        <f>IF(ISBLANK(formules!A40),"",1)</f>
        <v>1</v>
      </c>
      <c r="J40" s="1">
        <f>IF(ISBLANK(formules!A40),"",1)</f>
        <v>1</v>
      </c>
      <c r="K40" s="1" t="str">
        <f>IF(ISBLANK(formules!A40),"","Size")</f>
        <v>Size</v>
      </c>
      <c r="L40" s="1" t="str">
        <f>IF(ISBLANK(formules!A40),"",formules!J40)</f>
        <v>XS, S, M, L, XL</v>
      </c>
      <c r="M40" s="1">
        <f>IF(ISBLANK(formules!A40),"",1)</f>
        <v>1</v>
      </c>
      <c r="N40" s="1">
        <f>IF(ISBLANK(formules!A40),"",1)</f>
        <v>1</v>
      </c>
      <c r="O40" s="1" t="str">
        <f>IF(ISBLANK(formules!A40),"","Style")</f>
        <v>Style</v>
      </c>
      <c r="P40" s="1" t="str">
        <f>IF(ISBLANK(formules!A40),"",formules!C40)</f>
        <v>Short</v>
      </c>
      <c r="Q40" s="1">
        <f>IF(ISBLANK(formules!A40),"",1)</f>
        <v>1</v>
      </c>
      <c r="R40" s="1">
        <f>IF(ISBLANK(formules!A40),"",1)</f>
        <v>1</v>
      </c>
    </row>
    <row r="41" spans="1:18" x14ac:dyDescent="0.2">
      <c r="A41" s="1" t="str">
        <f>IF(ISBLANK(formules!A41),"","variable")</f>
        <v>variable</v>
      </c>
      <c r="B41" s="1" t="str">
        <f>IF(ISBLANK(formules!A41),"",formules!E41)</f>
        <v>7710322-711</v>
      </c>
      <c r="C41" s="1" t="str">
        <f>IF(ISBLANK(formules!A41),"",formules!F41)</f>
        <v>Cropped jacket with back pleats sand</v>
      </c>
      <c r="D41" s="1" t="str">
        <f>IF(ISBLANK(formules!A41),"",formules!G41)</f>
        <v>&lt;ul&gt;&lt;li&gt;Model size:  S&lt;/li&gt;&lt;li&gt;Model height:  175 cm&lt;/li&gt;&lt;li&gt;Colour:  Sand&lt;/li&gt;&lt;li&gt;Cropped jacket with pleated detailing on the back, a frayed hem, pockets and button-up front.&lt;/li&gt;&lt;/ul&gt;</v>
      </c>
      <c r="E41" s="1" t="str">
        <f>IF(ISBLANK(formules!A41),"",formules!H41)</f>
        <v>Jackets &gt; Jacket, Jackets</v>
      </c>
      <c r="F41" s="1" t="str">
        <f>IF(ISBLANK(formules!A41),"",formules!I41)</f>
        <v>https://host.zackha.com/images-nuxtcommerce/7710322-711-1.jpg, https://host.zackha.com/images-nuxtcommerce/7710322-711-2.jpg, https://host.zackha.com/images-nuxtcommerce/7710322-711-3.jpg, https://host.zackha.com/images-nuxtcommerce/7710322-711-4.jpg, https://host.zackha.com/images-nuxtcommerce/7710322-711-5.jpg, https://host.zackha.com/images-nuxtcommerce/7710322-711-6.jpg</v>
      </c>
      <c r="G41" s="1" t="str">
        <f>IF(ISBLANK(formules!A41),"","Color")</f>
        <v>Color</v>
      </c>
      <c r="H41" s="1" t="str">
        <f>IF(ISBLANK(formules!A41),"",formules!D41)</f>
        <v>Sand</v>
      </c>
      <c r="I41" s="1">
        <f>IF(ISBLANK(formules!A41),"",1)</f>
        <v>1</v>
      </c>
      <c r="J41" s="1">
        <f>IF(ISBLANK(formules!A41),"",1)</f>
        <v>1</v>
      </c>
      <c r="K41" s="1" t="str">
        <f>IF(ISBLANK(formules!A41),"","Size")</f>
        <v>Size</v>
      </c>
      <c r="L41" s="1" t="str">
        <f>IF(ISBLANK(formules!A41),"",formules!J41)</f>
        <v>XS, S, M, L, XL</v>
      </c>
      <c r="M41" s="1">
        <f>IF(ISBLANK(formules!A41),"",1)</f>
        <v>1</v>
      </c>
      <c r="N41" s="1">
        <f>IF(ISBLANK(formules!A41),"",1)</f>
        <v>1</v>
      </c>
      <c r="O41" s="1" t="str">
        <f>IF(ISBLANK(formules!A41),"","Style")</f>
        <v>Style</v>
      </c>
      <c r="P41" s="1" t="str">
        <f>IF(ISBLANK(formules!A41),"",formules!C41)</f>
        <v>Jacket</v>
      </c>
      <c r="Q41" s="1">
        <f>IF(ISBLANK(formules!A41),"",1)</f>
        <v>1</v>
      </c>
      <c r="R41" s="1">
        <f>IF(ISBLANK(formules!A41),"",1)</f>
        <v>1</v>
      </c>
    </row>
    <row r="42" spans="1:18" x14ac:dyDescent="0.2">
      <c r="A42" s="1" t="str">
        <f>IF(ISBLANK(formules!A42),"","variable")</f>
        <v>variable</v>
      </c>
      <c r="B42" s="1" t="str">
        <f>IF(ISBLANK(formules!A42),"",formules!E42)</f>
        <v>7710322-505</v>
      </c>
      <c r="C42" s="1" t="str">
        <f>IF(ISBLANK(formules!A42),"",formules!F42)</f>
        <v>Cropped jacket with back pleats khaki</v>
      </c>
      <c r="D42" s="1" t="str">
        <f>IF(ISBLANK(formules!A42),"",formules!G42)</f>
        <v>&lt;ul&gt;&lt;li&gt;Model size:  S&lt;/li&gt;&lt;li&gt;Model height:  175 cm&lt;/li&gt;&lt;li&gt;Colour:  Khaki&lt;/li&gt;&lt;li&gt;Cropped jacket with pleated detailing on the back, a frayed hem, pockets and button-up front.&lt;/li&gt;&lt;/ul&gt;</v>
      </c>
      <c r="E42" s="1" t="str">
        <f>IF(ISBLANK(formules!A42),"",formules!H42)</f>
        <v>Jackets &gt; Jacket, Jackets</v>
      </c>
      <c r="F42" s="1" t="str">
        <f>IF(ISBLANK(formules!A42),"",formules!I42)</f>
        <v>https://host.zackha.com/images-nuxtcommerce/7710322-505-1.jpg, https://host.zackha.com/images-nuxtcommerce/7710322-505-2.jpg, https://host.zackha.com/images-nuxtcommerce/7710322-505-3.jpg, https://host.zackha.com/images-nuxtcommerce/7710322-505-4.jpg, https://host.zackha.com/images-nuxtcommerce/7710322-505-5.jpg, https://host.zackha.com/images-nuxtcommerce/7710322-505-6.jpg</v>
      </c>
      <c r="G42" s="1" t="str">
        <f>IF(ISBLANK(formules!A42),"","Color")</f>
        <v>Color</v>
      </c>
      <c r="H42" s="1" t="str">
        <f>IF(ISBLANK(formules!A42),"",formules!D42)</f>
        <v>Khaki</v>
      </c>
      <c r="I42" s="1">
        <f>IF(ISBLANK(formules!A42),"",1)</f>
        <v>1</v>
      </c>
      <c r="J42" s="1">
        <f>IF(ISBLANK(formules!A42),"",1)</f>
        <v>1</v>
      </c>
      <c r="K42" s="1" t="str">
        <f>IF(ISBLANK(formules!A42),"","Size")</f>
        <v>Size</v>
      </c>
      <c r="L42" s="1" t="str">
        <f>IF(ISBLANK(formules!A42),"",formules!J42)</f>
        <v>XS, S, M, L, XL</v>
      </c>
      <c r="M42" s="1">
        <f>IF(ISBLANK(formules!A42),"",1)</f>
        <v>1</v>
      </c>
      <c r="N42" s="1">
        <f>IF(ISBLANK(formules!A42),"",1)</f>
        <v>1</v>
      </c>
      <c r="O42" s="1" t="str">
        <f>IF(ISBLANK(formules!A42),"","Style")</f>
        <v>Style</v>
      </c>
      <c r="P42" s="1" t="str">
        <f>IF(ISBLANK(formules!A42),"",formules!C42)</f>
        <v>Jacket</v>
      </c>
      <c r="Q42" s="1">
        <f>IF(ISBLANK(formules!A42),"",1)</f>
        <v>1</v>
      </c>
      <c r="R42" s="1">
        <f>IF(ISBLANK(formules!A42),"",1)</f>
        <v>1</v>
      </c>
    </row>
    <row r="43" spans="1:18" x14ac:dyDescent="0.2">
      <c r="A43" s="1" t="str">
        <f>IF(ISBLANK(formules!A43),"","variable")</f>
        <v>variable</v>
      </c>
      <c r="B43" s="1" t="str">
        <f>IF(ISBLANK(formules!A43),"",formules!E43)</f>
        <v>7803315-615</v>
      </c>
      <c r="C43" s="1" t="str">
        <f>IF(ISBLANK(formules!A43),"",formules!F43)</f>
        <v>Striped triangle bikini top orange</v>
      </c>
      <c r="D43" s="1" t="str">
        <f>IF(ISBLANK(formules!A43),"",formules!G43)</f>
        <v>&lt;ul&gt;&lt;li&gt;Model size:  S&lt;/li&gt;&lt;li&gt;Model height:  175 cm&lt;/li&gt;&lt;li&gt;Colour:  Orange&lt;/li&gt;&lt;li&gt;Bikini top with a stripe print, thin straps and straps at the back that tie into knots. Made of stretch fabric.&lt;/li&gt;&lt;/ul&gt;</v>
      </c>
      <c r="E43" s="1" t="str">
        <f>IF(ISBLANK(formules!A43),"",formules!H43)</f>
        <v>Swimwear &gt; Bikini, Swimwear</v>
      </c>
      <c r="F43" s="1" t="str">
        <f>IF(ISBLANK(formules!A43),"",formules!I43)</f>
        <v>https://host.zackha.com/images-nuxtcommerce/7803315-615-1.jpg, https://host.zackha.com/images-nuxtcommerce/7803315-615-2.jpg, https://host.zackha.com/images-nuxtcommerce/7803315-615-3.jpg, https://host.zackha.com/images-nuxtcommerce/7803315-615-4.jpg, https://host.zackha.com/images-nuxtcommerce/7803315-615-5.jpg, https://host.zackha.com/images-nuxtcommerce/7803315-615-6.jpg</v>
      </c>
      <c r="G43" s="1" t="str">
        <f>IF(ISBLANK(formules!A43),"","Color")</f>
        <v>Color</v>
      </c>
      <c r="H43" s="1" t="str">
        <f>IF(ISBLANK(formules!A43),"",formules!D43)</f>
        <v>Orange</v>
      </c>
      <c r="I43" s="1">
        <f>IF(ISBLANK(formules!A43),"",1)</f>
        <v>1</v>
      </c>
      <c r="J43" s="1">
        <f>IF(ISBLANK(formules!A43),"",1)</f>
        <v>1</v>
      </c>
      <c r="K43" s="1" t="str">
        <f>IF(ISBLANK(formules!A43),"","Size")</f>
        <v>Size</v>
      </c>
      <c r="L43" s="1" t="str">
        <f>IF(ISBLANK(formules!A43),"",formules!J43)</f>
        <v>XS, S, M, L, XL</v>
      </c>
      <c r="M43" s="1">
        <f>IF(ISBLANK(formules!A43),"",1)</f>
        <v>1</v>
      </c>
      <c r="N43" s="1">
        <f>IF(ISBLANK(formules!A43),"",1)</f>
        <v>1</v>
      </c>
      <c r="O43" s="1" t="str">
        <f>IF(ISBLANK(formules!A43),"","Style")</f>
        <v>Style</v>
      </c>
      <c r="P43" s="1" t="str">
        <f>IF(ISBLANK(formules!A43),"",formules!C43)</f>
        <v>Swimwear</v>
      </c>
      <c r="Q43" s="1">
        <f>IF(ISBLANK(formules!A43),"",1)</f>
        <v>1</v>
      </c>
      <c r="R43" s="1">
        <f>IF(ISBLANK(formules!A43),"",1)</f>
        <v>1</v>
      </c>
    </row>
    <row r="44" spans="1:18" x14ac:dyDescent="0.2">
      <c r="A44" s="1" t="str">
        <f>IF(ISBLANK(formules!A44),"","variable")</f>
        <v/>
      </c>
      <c r="B44" s="1" t="str">
        <f>IF(ISBLANK(formules!A44),"",formules!E44)</f>
        <v/>
      </c>
      <c r="C44" s="1" t="str">
        <f>IF(ISBLANK(formules!A44),"",formules!F44)</f>
        <v/>
      </c>
      <c r="D44" s="1" t="str">
        <f>IF(ISBLANK(formules!A44),"",formules!G44)</f>
        <v/>
      </c>
      <c r="E44" s="1" t="str">
        <f>IF(ISBLANK(formules!A44),"",formules!H44)</f>
        <v/>
      </c>
      <c r="F44" s="1" t="str">
        <f>IF(ISBLANK(formules!A44),"",formules!I44)</f>
        <v/>
      </c>
      <c r="G44" s="1" t="str">
        <f>IF(ISBLANK(formules!A44),"","Color")</f>
        <v/>
      </c>
      <c r="H44" s="1" t="str">
        <f>IF(ISBLANK(formules!A44),"",formules!D44)</f>
        <v/>
      </c>
      <c r="I44" s="1" t="str">
        <f>IF(ISBLANK(formules!A44),"",1)</f>
        <v/>
      </c>
      <c r="J44" s="1" t="str">
        <f>IF(ISBLANK(formules!A44),"",1)</f>
        <v/>
      </c>
      <c r="K44" s="1" t="str">
        <f>IF(ISBLANK(formules!A44),"","Size")</f>
        <v/>
      </c>
      <c r="L44" s="1" t="str">
        <f>IF(ISBLANK(formules!A44),"",formules!J44)</f>
        <v/>
      </c>
      <c r="M44" s="1" t="str">
        <f>IF(ISBLANK(formules!A44),"",1)</f>
        <v/>
      </c>
      <c r="N44" s="1" t="str">
        <f>IF(ISBLANK(formules!A44),"",1)</f>
        <v/>
      </c>
      <c r="O44" s="1" t="str">
        <f>IF(ISBLANK(formules!A44),"","Style")</f>
        <v/>
      </c>
      <c r="P44" s="1" t="str">
        <f>IF(ISBLANK(formules!A44),"",formules!C44)</f>
        <v/>
      </c>
      <c r="Q44" s="1" t="str">
        <f>IF(ISBLANK(formules!A44),"",1)</f>
        <v/>
      </c>
      <c r="R44" s="1" t="str">
        <f>IF(ISBLANK(formules!A44),"",1)</f>
        <v/>
      </c>
    </row>
    <row r="45" spans="1:18" x14ac:dyDescent="0.2">
      <c r="A45" s="1" t="str">
        <f>IF(ISBLANK(formules!A45),"","variable")</f>
        <v/>
      </c>
      <c r="B45" s="1" t="str">
        <f>IF(ISBLANK(formules!A45),"",formules!E45)</f>
        <v/>
      </c>
      <c r="C45" s="1" t="str">
        <f>IF(ISBLANK(formules!A45),"",formules!F45)</f>
        <v/>
      </c>
      <c r="D45" s="1" t="str">
        <f>IF(ISBLANK(formules!A45),"",formules!G45)</f>
        <v/>
      </c>
      <c r="E45" s="1" t="str">
        <f>IF(ISBLANK(formules!A45),"",formules!H45)</f>
        <v/>
      </c>
      <c r="F45" s="1" t="str">
        <f>IF(ISBLANK(formules!A45),"",formules!I45)</f>
        <v/>
      </c>
      <c r="G45" s="1" t="str">
        <f>IF(ISBLANK(formules!A45),"","Color")</f>
        <v/>
      </c>
      <c r="H45" s="1" t="str">
        <f>IF(ISBLANK(formules!A45),"",formules!D45)</f>
        <v/>
      </c>
      <c r="I45" s="1" t="str">
        <f>IF(ISBLANK(formules!A45),"",1)</f>
        <v/>
      </c>
      <c r="J45" s="1" t="str">
        <f>IF(ISBLANK(formules!A45),"",1)</f>
        <v/>
      </c>
      <c r="K45" s="1" t="str">
        <f>IF(ISBLANK(formules!A45),"","Size")</f>
        <v/>
      </c>
      <c r="L45" s="1" t="str">
        <f>IF(ISBLANK(formules!A45),"",formules!J45)</f>
        <v/>
      </c>
      <c r="M45" s="1" t="str">
        <f>IF(ISBLANK(formules!A45),"",1)</f>
        <v/>
      </c>
      <c r="N45" s="1" t="str">
        <f>IF(ISBLANK(formules!A45),"",1)</f>
        <v/>
      </c>
      <c r="O45" s="1" t="str">
        <f>IF(ISBLANK(formules!A45),"","Style")</f>
        <v/>
      </c>
      <c r="P45" s="1" t="str">
        <f>IF(ISBLANK(formules!A45),"",formules!C45)</f>
        <v/>
      </c>
      <c r="Q45" s="1" t="str">
        <f>IF(ISBLANK(formules!A45),"",1)</f>
        <v/>
      </c>
      <c r="R45" s="1" t="str">
        <f>IF(ISBLANK(formules!A45),"",1)</f>
        <v/>
      </c>
    </row>
    <row r="46" spans="1:18" x14ac:dyDescent="0.2">
      <c r="A46" s="1" t="str">
        <f>IF(ISBLANK(formules!A46),"","variable")</f>
        <v/>
      </c>
      <c r="B46" s="1" t="str">
        <f>IF(ISBLANK(formules!A46),"",formules!E46)</f>
        <v/>
      </c>
      <c r="C46" s="1" t="str">
        <f>IF(ISBLANK(formules!A46),"",formules!F46)</f>
        <v/>
      </c>
      <c r="D46" s="1" t="str">
        <f>IF(ISBLANK(formules!A46),"",formules!G46)</f>
        <v/>
      </c>
      <c r="E46" s="1" t="str">
        <f>IF(ISBLANK(formules!A46),"",formules!H46)</f>
        <v/>
      </c>
      <c r="F46" s="1" t="str">
        <f>IF(ISBLANK(formules!A46),"",formules!I46)</f>
        <v/>
      </c>
      <c r="G46" s="1" t="str">
        <f>IF(ISBLANK(formules!A46),"","Color")</f>
        <v/>
      </c>
      <c r="H46" s="1" t="str">
        <f>IF(ISBLANK(formules!A46),"",formules!D46)</f>
        <v/>
      </c>
      <c r="I46" s="1" t="str">
        <f>IF(ISBLANK(formules!A46),"",1)</f>
        <v/>
      </c>
      <c r="J46" s="1" t="str">
        <f>IF(ISBLANK(formules!A46),"",1)</f>
        <v/>
      </c>
      <c r="K46" s="1" t="str">
        <f>IF(ISBLANK(formules!A46),"","Size")</f>
        <v/>
      </c>
      <c r="L46" s="1" t="str">
        <f>IF(ISBLANK(formules!A46),"",formules!J46)</f>
        <v/>
      </c>
      <c r="M46" s="1" t="str">
        <f>IF(ISBLANK(formules!A46),"",1)</f>
        <v/>
      </c>
      <c r="N46" s="1" t="str">
        <f>IF(ISBLANK(formules!A46),"",1)</f>
        <v/>
      </c>
      <c r="O46" s="1" t="str">
        <f>IF(ISBLANK(formules!A46),"","Style")</f>
        <v/>
      </c>
      <c r="P46" s="1" t="str">
        <f>IF(ISBLANK(formules!A46),"",formules!C46)</f>
        <v/>
      </c>
      <c r="Q46" s="1" t="str">
        <f>IF(ISBLANK(formules!A46),"",1)</f>
        <v/>
      </c>
      <c r="R46" s="1" t="str">
        <f>IF(ISBLANK(formules!A46),"",1)</f>
        <v/>
      </c>
    </row>
    <row r="47" spans="1:18" x14ac:dyDescent="0.2">
      <c r="A47" s="1" t="str">
        <f>IF(ISBLANK(formules!A47),"","variable")</f>
        <v/>
      </c>
      <c r="B47" s="1" t="str">
        <f>IF(ISBLANK(formules!A47),"",formules!E47)</f>
        <v/>
      </c>
      <c r="C47" s="1" t="str">
        <f>IF(ISBLANK(formules!A47),"",formules!F47)</f>
        <v/>
      </c>
      <c r="D47" s="1" t="str">
        <f>IF(ISBLANK(formules!A47),"",formules!G47)</f>
        <v/>
      </c>
      <c r="E47" s="1" t="str">
        <f>IF(ISBLANK(formules!A47),"",formules!H47)</f>
        <v/>
      </c>
      <c r="F47" s="1" t="str">
        <f>IF(ISBLANK(formules!A47),"",formules!I47)</f>
        <v/>
      </c>
      <c r="G47" s="1" t="str">
        <f>IF(ISBLANK(formules!A47),"","Color")</f>
        <v/>
      </c>
      <c r="H47" s="1" t="str">
        <f>IF(ISBLANK(formules!A47),"",formules!D47)</f>
        <v/>
      </c>
      <c r="I47" s="1" t="str">
        <f>IF(ISBLANK(formules!A47),"",1)</f>
        <v/>
      </c>
      <c r="J47" s="1" t="str">
        <f>IF(ISBLANK(formules!A47),"",1)</f>
        <v/>
      </c>
      <c r="K47" s="1" t="str">
        <f>IF(ISBLANK(formules!A47),"","Size")</f>
        <v/>
      </c>
      <c r="L47" s="1" t="str">
        <f>IF(ISBLANK(formules!A47),"",formules!J47)</f>
        <v/>
      </c>
      <c r="M47" s="1" t="str">
        <f>IF(ISBLANK(formules!A47),"",1)</f>
        <v/>
      </c>
      <c r="N47" s="1" t="str">
        <f>IF(ISBLANK(formules!A47),"",1)</f>
        <v/>
      </c>
      <c r="O47" s="1" t="str">
        <f>IF(ISBLANK(formules!A47),"","Style")</f>
        <v/>
      </c>
      <c r="P47" s="1" t="str">
        <f>IF(ISBLANK(formules!A47),"",formules!C47)</f>
        <v/>
      </c>
      <c r="Q47" s="1" t="str">
        <f>IF(ISBLANK(formules!A47),"",1)</f>
        <v/>
      </c>
      <c r="R47" s="1" t="str">
        <f>IF(ISBLANK(formules!A47),"",1)</f>
        <v/>
      </c>
    </row>
    <row r="48" spans="1:18" x14ac:dyDescent="0.2">
      <c r="A48" s="1" t="str">
        <f>IF(ISBLANK(formules!A48),"","variable")</f>
        <v/>
      </c>
      <c r="B48" s="1" t="str">
        <f>IF(ISBLANK(formules!A48),"",formules!E48)</f>
        <v/>
      </c>
      <c r="C48" s="1" t="str">
        <f>IF(ISBLANK(formules!A48),"",formules!F48)</f>
        <v/>
      </c>
      <c r="D48" s="1" t="str">
        <f>IF(ISBLANK(formules!A48),"",formules!G48)</f>
        <v/>
      </c>
      <c r="E48" s="1" t="str">
        <f>IF(ISBLANK(formules!A48),"",formules!H48)</f>
        <v/>
      </c>
      <c r="F48" s="1" t="str">
        <f>IF(ISBLANK(formules!A48),"",formules!I48)</f>
        <v/>
      </c>
      <c r="G48" s="1" t="str">
        <f>IF(ISBLANK(formules!A48),"","Color")</f>
        <v/>
      </c>
      <c r="H48" s="1" t="str">
        <f>IF(ISBLANK(formules!A48),"",formules!D48)</f>
        <v/>
      </c>
      <c r="I48" s="1" t="str">
        <f>IF(ISBLANK(formules!A48),"",1)</f>
        <v/>
      </c>
      <c r="J48" s="1" t="str">
        <f>IF(ISBLANK(formules!A48),"",1)</f>
        <v/>
      </c>
      <c r="K48" s="1" t="str">
        <f>IF(ISBLANK(formules!A48),"","Size")</f>
        <v/>
      </c>
      <c r="L48" s="1" t="str">
        <f>IF(ISBLANK(formules!A48),"",formules!J48)</f>
        <v/>
      </c>
      <c r="M48" s="1" t="str">
        <f>IF(ISBLANK(formules!A48),"",1)</f>
        <v/>
      </c>
      <c r="N48" s="1" t="str">
        <f>IF(ISBLANK(formules!A48),"",1)</f>
        <v/>
      </c>
      <c r="O48" s="1" t="str">
        <f>IF(ISBLANK(formules!A48),"","Style")</f>
        <v/>
      </c>
      <c r="P48" s="1" t="str">
        <f>IF(ISBLANK(formules!A48),"",formules!C48)</f>
        <v/>
      </c>
      <c r="Q48" s="1" t="str">
        <f>IF(ISBLANK(formules!A48),"",1)</f>
        <v/>
      </c>
      <c r="R48" s="1" t="str">
        <f>IF(ISBLANK(formules!A48),"",1)</f>
        <v/>
      </c>
    </row>
    <row r="49" spans="1:18" x14ac:dyDescent="0.2">
      <c r="A49" s="1" t="str">
        <f>IF(ISBLANK(formules!A49),"","variable")</f>
        <v/>
      </c>
      <c r="B49" s="1" t="str">
        <f>IF(ISBLANK(formules!A49),"",formules!E49)</f>
        <v/>
      </c>
      <c r="C49" s="1" t="str">
        <f>IF(ISBLANK(formules!A49),"",formules!F49)</f>
        <v/>
      </c>
      <c r="D49" s="1" t="str">
        <f>IF(ISBLANK(formules!A49),"",formules!G49)</f>
        <v/>
      </c>
      <c r="E49" s="1" t="str">
        <f>IF(ISBLANK(formules!A49),"",formules!H49)</f>
        <v/>
      </c>
      <c r="F49" s="1" t="str">
        <f>IF(ISBLANK(formules!A49),"",formules!I49)</f>
        <v/>
      </c>
      <c r="G49" s="1" t="str">
        <f>IF(ISBLANK(formules!A49),"","Color")</f>
        <v/>
      </c>
      <c r="H49" s="1" t="str">
        <f>IF(ISBLANK(formules!A49),"",formules!D49)</f>
        <v/>
      </c>
      <c r="I49" s="1" t="str">
        <f>IF(ISBLANK(formules!A49),"",1)</f>
        <v/>
      </c>
      <c r="J49" s="1" t="str">
        <f>IF(ISBLANK(formules!A49),"",1)</f>
        <v/>
      </c>
      <c r="K49" s="1" t="str">
        <f>IF(ISBLANK(formules!A49),"","Size")</f>
        <v/>
      </c>
      <c r="L49" s="1" t="str">
        <f>IF(ISBLANK(formules!A49),"",formules!J49)</f>
        <v/>
      </c>
      <c r="M49" s="1" t="str">
        <f>IF(ISBLANK(formules!A49),"",1)</f>
        <v/>
      </c>
      <c r="N49" s="1" t="str">
        <f>IF(ISBLANK(formules!A49),"",1)</f>
        <v/>
      </c>
      <c r="O49" s="1" t="str">
        <f>IF(ISBLANK(formules!A49),"","Style")</f>
        <v/>
      </c>
      <c r="P49" s="1" t="str">
        <f>IF(ISBLANK(formules!A49),"",formules!C49)</f>
        <v/>
      </c>
      <c r="Q49" s="1" t="str">
        <f>IF(ISBLANK(formules!A49),"",1)</f>
        <v/>
      </c>
      <c r="R49" s="1" t="str">
        <f>IF(ISBLANK(formules!A49),"",1)</f>
        <v/>
      </c>
    </row>
    <row r="50" spans="1:18" x14ac:dyDescent="0.2">
      <c r="A50" s="1" t="str">
        <f>IF(ISBLANK(formules!A50),"","variable")</f>
        <v/>
      </c>
      <c r="B50" s="1" t="str">
        <f>IF(ISBLANK(formules!A50),"",formules!E50)</f>
        <v/>
      </c>
      <c r="C50" s="1" t="str">
        <f>IF(ISBLANK(formules!A50),"",formules!F50)</f>
        <v/>
      </c>
      <c r="D50" s="1" t="str">
        <f>IF(ISBLANK(formules!A50),"",formules!G50)</f>
        <v/>
      </c>
      <c r="E50" s="1" t="str">
        <f>IF(ISBLANK(formules!A50),"",formules!H50)</f>
        <v/>
      </c>
      <c r="F50" s="1" t="str">
        <f>IF(ISBLANK(formules!A50),"",formules!I50)</f>
        <v/>
      </c>
      <c r="G50" s="1" t="str">
        <f>IF(ISBLANK(formules!A50),"","Color")</f>
        <v/>
      </c>
      <c r="H50" s="1" t="str">
        <f>IF(ISBLANK(formules!A50),"",formules!D50)</f>
        <v/>
      </c>
      <c r="I50" s="1" t="str">
        <f>IF(ISBLANK(formules!A50),"",1)</f>
        <v/>
      </c>
      <c r="J50" s="1" t="str">
        <f>IF(ISBLANK(formules!A50),"",1)</f>
        <v/>
      </c>
      <c r="K50" s="1" t="str">
        <f>IF(ISBLANK(formules!A50),"","Size")</f>
        <v/>
      </c>
      <c r="L50" s="1" t="str">
        <f>IF(ISBLANK(formules!A50),"",formules!J50)</f>
        <v/>
      </c>
      <c r="M50" s="1" t="str">
        <f>IF(ISBLANK(formules!A50),"",1)</f>
        <v/>
      </c>
      <c r="N50" s="1" t="str">
        <f>IF(ISBLANK(formules!A50),"",1)</f>
        <v/>
      </c>
      <c r="O50" s="1" t="str">
        <f>IF(ISBLANK(formules!A50),"","Style")</f>
        <v/>
      </c>
      <c r="P50" s="1" t="str">
        <f>IF(ISBLANK(formules!A50),"",formules!C50)</f>
        <v/>
      </c>
      <c r="Q50" s="1" t="str">
        <f>IF(ISBLANK(formules!A50),"",1)</f>
        <v/>
      </c>
      <c r="R50" s="1" t="str">
        <f>IF(ISBLANK(formules!A50),"",1)</f>
        <v/>
      </c>
    </row>
    <row r="51" spans="1:18" x14ac:dyDescent="0.2">
      <c r="A51" s="1" t="str">
        <f>IF(ISBLANK(formules!A51),"","variable")</f>
        <v/>
      </c>
      <c r="B51" s="1" t="str">
        <f>IF(ISBLANK(formules!A51),"",formules!E51)</f>
        <v/>
      </c>
      <c r="C51" s="1" t="str">
        <f>IF(ISBLANK(formules!A51),"",formules!F51)</f>
        <v/>
      </c>
      <c r="D51" s="1" t="str">
        <f>IF(ISBLANK(formules!A51),"",formules!G51)</f>
        <v/>
      </c>
      <c r="E51" s="1" t="str">
        <f>IF(ISBLANK(formules!A51),"",formules!H51)</f>
        <v/>
      </c>
      <c r="F51" s="1" t="str">
        <f>IF(ISBLANK(formules!A51),"",formules!I51)</f>
        <v/>
      </c>
      <c r="G51" s="1" t="str">
        <f>IF(ISBLANK(formules!A51),"","Color")</f>
        <v/>
      </c>
      <c r="H51" s="1" t="str">
        <f>IF(ISBLANK(formules!A51),"",formules!D51)</f>
        <v/>
      </c>
      <c r="I51" s="1" t="str">
        <f>IF(ISBLANK(formules!A51),"",1)</f>
        <v/>
      </c>
      <c r="J51" s="1" t="str">
        <f>IF(ISBLANK(formules!A51),"",1)</f>
        <v/>
      </c>
      <c r="K51" s="1" t="str">
        <f>IF(ISBLANK(formules!A51),"","Size")</f>
        <v/>
      </c>
      <c r="L51" s="1" t="str">
        <f>IF(ISBLANK(formules!A51),"",formules!J51)</f>
        <v/>
      </c>
      <c r="M51" s="1" t="str">
        <f>IF(ISBLANK(formules!A51),"",1)</f>
        <v/>
      </c>
      <c r="N51" s="1" t="str">
        <f>IF(ISBLANK(formules!A51),"",1)</f>
        <v/>
      </c>
      <c r="O51" s="1" t="str">
        <f>IF(ISBLANK(formules!A51),"","Style")</f>
        <v/>
      </c>
      <c r="P51" s="1" t="str">
        <f>IF(ISBLANK(formules!A51),"",formules!C51)</f>
        <v/>
      </c>
      <c r="Q51" s="1" t="str">
        <f>IF(ISBLANK(formules!A51),"",1)</f>
        <v/>
      </c>
      <c r="R51" s="1" t="str">
        <f>IF(ISBLANK(formules!A51),"",1)</f>
        <v/>
      </c>
    </row>
    <row r="52" spans="1:18" x14ac:dyDescent="0.2">
      <c r="A52" s="1" t="str">
        <f>IF(ISBLANK(formules!A52),"","variable")</f>
        <v/>
      </c>
      <c r="B52" s="1" t="str">
        <f>IF(ISBLANK(formules!A52),"",formules!E52)</f>
        <v/>
      </c>
      <c r="C52" s="1" t="str">
        <f>IF(ISBLANK(formules!A52),"",formules!F52)</f>
        <v/>
      </c>
      <c r="D52" s="1" t="str">
        <f>IF(ISBLANK(formules!A52),"",formules!G52)</f>
        <v/>
      </c>
      <c r="E52" s="1" t="str">
        <f>IF(ISBLANK(formules!A52),"",formules!H52)</f>
        <v/>
      </c>
      <c r="F52" s="1" t="str">
        <f>IF(ISBLANK(formules!A52),"",formules!I52)</f>
        <v/>
      </c>
      <c r="G52" s="1" t="str">
        <f>IF(ISBLANK(formules!A52),"","Color")</f>
        <v/>
      </c>
      <c r="H52" s="1" t="str">
        <f>IF(ISBLANK(formules!A52),"",formules!D52)</f>
        <v/>
      </c>
      <c r="I52" s="1" t="str">
        <f>IF(ISBLANK(formules!A52),"",1)</f>
        <v/>
      </c>
      <c r="J52" s="1" t="str">
        <f>IF(ISBLANK(formules!A52),"",1)</f>
        <v/>
      </c>
      <c r="K52" s="1" t="str">
        <f>IF(ISBLANK(formules!A52),"","Size")</f>
        <v/>
      </c>
      <c r="L52" s="1" t="str">
        <f>IF(ISBLANK(formules!A52),"",formules!J52)</f>
        <v/>
      </c>
      <c r="M52" s="1" t="str">
        <f>IF(ISBLANK(formules!A52),"",1)</f>
        <v/>
      </c>
      <c r="N52" s="1" t="str">
        <f>IF(ISBLANK(formules!A52),"",1)</f>
        <v/>
      </c>
      <c r="O52" s="1" t="str">
        <f>IF(ISBLANK(formules!A52),"","Style")</f>
        <v/>
      </c>
      <c r="P52" s="1" t="str">
        <f>IF(ISBLANK(formules!A52),"",formules!C52)</f>
        <v/>
      </c>
      <c r="Q52" s="1" t="str">
        <f>IF(ISBLANK(formules!A52),"",1)</f>
        <v/>
      </c>
      <c r="R52" s="1" t="str">
        <f>IF(ISBLANK(formules!A52),"",1)</f>
        <v/>
      </c>
    </row>
    <row r="53" spans="1:18" x14ac:dyDescent="0.2">
      <c r="A53" s="1" t="str">
        <f>IF(ISBLANK(formules!A53),"","variable")</f>
        <v/>
      </c>
      <c r="B53" s="1" t="str">
        <f>IF(ISBLANK(formules!A53),"",formules!E53)</f>
        <v/>
      </c>
      <c r="C53" s="1" t="str">
        <f>IF(ISBLANK(formules!A53),"",formules!F53)</f>
        <v/>
      </c>
      <c r="D53" s="1" t="str">
        <f>IF(ISBLANK(formules!A53),"",formules!G53)</f>
        <v/>
      </c>
      <c r="E53" s="1" t="str">
        <f>IF(ISBLANK(formules!A53),"",formules!H53)</f>
        <v/>
      </c>
      <c r="F53" s="1" t="str">
        <f>IF(ISBLANK(formules!A53),"",formules!I53)</f>
        <v/>
      </c>
      <c r="G53" s="1" t="str">
        <f>IF(ISBLANK(formules!A53),"","Color")</f>
        <v/>
      </c>
      <c r="H53" s="1" t="str">
        <f>IF(ISBLANK(formules!A53),"",formules!D53)</f>
        <v/>
      </c>
      <c r="I53" s="1" t="str">
        <f>IF(ISBLANK(formules!A53),"",1)</f>
        <v/>
      </c>
      <c r="J53" s="1" t="str">
        <f>IF(ISBLANK(formules!A53),"",1)</f>
        <v/>
      </c>
      <c r="K53" s="1" t="str">
        <f>IF(ISBLANK(formules!A53),"","Size")</f>
        <v/>
      </c>
      <c r="L53" s="1" t="str">
        <f>IF(ISBLANK(formules!A53),"",formules!J53)</f>
        <v/>
      </c>
      <c r="M53" s="1" t="str">
        <f>IF(ISBLANK(formules!A53),"",1)</f>
        <v/>
      </c>
      <c r="N53" s="1" t="str">
        <f>IF(ISBLANK(formules!A53),"",1)</f>
        <v/>
      </c>
      <c r="O53" s="1" t="str">
        <f>IF(ISBLANK(formules!A53),"","Style")</f>
        <v/>
      </c>
      <c r="P53" s="1" t="str">
        <f>IF(ISBLANK(formules!A53),"",formules!C53)</f>
        <v/>
      </c>
      <c r="Q53" s="1" t="str">
        <f>IF(ISBLANK(formules!A53),"",1)</f>
        <v/>
      </c>
      <c r="R53" s="1" t="str">
        <f>IF(ISBLANK(formules!A53),"",1)</f>
        <v/>
      </c>
    </row>
    <row r="54" spans="1:18" x14ac:dyDescent="0.2">
      <c r="A54" s="1" t="str">
        <f>IF(ISBLANK(formules!A54),"","variable")</f>
        <v/>
      </c>
      <c r="B54" s="1" t="str">
        <f>IF(ISBLANK(formules!A54),"",formules!E54)</f>
        <v/>
      </c>
      <c r="C54" s="1" t="str">
        <f>IF(ISBLANK(formules!A54),"",formules!F54)</f>
        <v/>
      </c>
      <c r="D54" s="1" t="str">
        <f>IF(ISBLANK(formules!A54),"",formules!G54)</f>
        <v/>
      </c>
      <c r="E54" s="1" t="str">
        <f>IF(ISBLANK(formules!A54),"",formules!H54)</f>
        <v/>
      </c>
      <c r="F54" s="1" t="str">
        <f>IF(ISBLANK(formules!A54),"",formules!I54)</f>
        <v/>
      </c>
      <c r="G54" s="1" t="str">
        <f>IF(ISBLANK(formules!A54),"","Color")</f>
        <v/>
      </c>
      <c r="H54" s="1" t="str">
        <f>IF(ISBLANK(formules!A54),"",formules!D54)</f>
        <v/>
      </c>
      <c r="I54" s="1" t="str">
        <f>IF(ISBLANK(formules!A54),"",1)</f>
        <v/>
      </c>
      <c r="J54" s="1" t="str">
        <f>IF(ISBLANK(formules!A54),"",1)</f>
        <v/>
      </c>
      <c r="K54" s="1" t="str">
        <f>IF(ISBLANK(formules!A54),"","Size")</f>
        <v/>
      </c>
      <c r="L54" s="1" t="str">
        <f>IF(ISBLANK(formules!A54),"",formules!J54)</f>
        <v/>
      </c>
      <c r="M54" s="1" t="str">
        <f>IF(ISBLANK(formules!A54),"",1)</f>
        <v/>
      </c>
      <c r="N54" s="1" t="str">
        <f>IF(ISBLANK(formules!A54),"",1)</f>
        <v/>
      </c>
      <c r="O54" s="1" t="str">
        <f>IF(ISBLANK(formules!A54),"","Style")</f>
        <v/>
      </c>
      <c r="P54" s="1" t="str">
        <f>IF(ISBLANK(formules!A54),"",formules!C54)</f>
        <v/>
      </c>
      <c r="Q54" s="1" t="str">
        <f>IF(ISBLANK(formules!A54),"",1)</f>
        <v/>
      </c>
      <c r="R54" s="1" t="str">
        <f>IF(ISBLANK(formules!A54),"",1)</f>
        <v/>
      </c>
    </row>
    <row r="55" spans="1:18" x14ac:dyDescent="0.2">
      <c r="A55" s="1" t="str">
        <f>IF(ISBLANK(formules!A55),"","variable")</f>
        <v/>
      </c>
      <c r="B55" s="1" t="str">
        <f>IF(ISBLANK(formules!A55),"",formules!E55)</f>
        <v/>
      </c>
      <c r="C55" s="1" t="str">
        <f>IF(ISBLANK(formules!A55),"",formules!F55)</f>
        <v/>
      </c>
      <c r="D55" s="1" t="str">
        <f>IF(ISBLANK(formules!A55),"",formules!G55)</f>
        <v/>
      </c>
      <c r="E55" s="1" t="str">
        <f>IF(ISBLANK(formules!A55),"",formules!H55)</f>
        <v/>
      </c>
      <c r="F55" s="1" t="str">
        <f>IF(ISBLANK(formules!A55),"",formules!I55)</f>
        <v/>
      </c>
      <c r="G55" s="1" t="str">
        <f>IF(ISBLANK(formules!A55),"","Color")</f>
        <v/>
      </c>
      <c r="H55" s="1" t="str">
        <f>IF(ISBLANK(formules!A55),"",formules!D55)</f>
        <v/>
      </c>
      <c r="I55" s="1" t="str">
        <f>IF(ISBLANK(formules!A55),"",1)</f>
        <v/>
      </c>
      <c r="J55" s="1" t="str">
        <f>IF(ISBLANK(formules!A55),"",1)</f>
        <v/>
      </c>
      <c r="K55" s="1" t="str">
        <f>IF(ISBLANK(formules!A55),"","Size")</f>
        <v/>
      </c>
      <c r="L55" s="1" t="str">
        <f>IF(ISBLANK(formules!A55),"",formules!J55)</f>
        <v/>
      </c>
      <c r="M55" s="1" t="str">
        <f>IF(ISBLANK(formules!A55),"",1)</f>
        <v/>
      </c>
      <c r="N55" s="1" t="str">
        <f>IF(ISBLANK(formules!A55),"",1)</f>
        <v/>
      </c>
      <c r="O55" s="1" t="str">
        <f>IF(ISBLANK(formules!A55),"","Style")</f>
        <v/>
      </c>
      <c r="P55" s="1" t="str">
        <f>IF(ISBLANK(formules!A55),"",formules!C55)</f>
        <v/>
      </c>
      <c r="Q55" s="1" t="str">
        <f>IF(ISBLANK(formules!A55),"",1)</f>
        <v/>
      </c>
      <c r="R55" s="1" t="str">
        <f>IF(ISBLANK(formules!A55),"",1)</f>
        <v/>
      </c>
    </row>
    <row r="56" spans="1:18" x14ac:dyDescent="0.2">
      <c r="A56" s="1" t="str">
        <f>IF(ISBLANK(formules!A56),"","variable")</f>
        <v/>
      </c>
      <c r="B56" s="1" t="str">
        <f>IF(ISBLANK(formules!A56),"",formules!E56)</f>
        <v/>
      </c>
      <c r="C56" s="1" t="str">
        <f>IF(ISBLANK(formules!A56),"",formules!F56)</f>
        <v/>
      </c>
      <c r="D56" s="1" t="str">
        <f>IF(ISBLANK(formules!A56),"",formules!G56)</f>
        <v/>
      </c>
      <c r="E56" s="1" t="str">
        <f>IF(ISBLANK(formules!A56),"",formules!H56)</f>
        <v/>
      </c>
      <c r="F56" s="1" t="str">
        <f>IF(ISBLANK(formules!A56),"",formules!I56)</f>
        <v/>
      </c>
      <c r="G56" s="1" t="str">
        <f>IF(ISBLANK(formules!A56),"","Color")</f>
        <v/>
      </c>
      <c r="H56" s="1" t="str">
        <f>IF(ISBLANK(formules!A56),"",formules!D56)</f>
        <v/>
      </c>
      <c r="I56" s="1" t="str">
        <f>IF(ISBLANK(formules!A56),"",1)</f>
        <v/>
      </c>
      <c r="J56" s="1" t="str">
        <f>IF(ISBLANK(formules!A56),"",1)</f>
        <v/>
      </c>
      <c r="K56" s="1" t="str">
        <f>IF(ISBLANK(formules!A56),"","Size")</f>
        <v/>
      </c>
      <c r="L56" s="1" t="str">
        <f>IF(ISBLANK(formules!A56),"",formules!J56)</f>
        <v/>
      </c>
      <c r="M56" s="1" t="str">
        <f>IF(ISBLANK(formules!A56),"",1)</f>
        <v/>
      </c>
      <c r="N56" s="1" t="str">
        <f>IF(ISBLANK(formules!A56),"",1)</f>
        <v/>
      </c>
      <c r="O56" s="1" t="str">
        <f>IF(ISBLANK(formules!A56),"","Style")</f>
        <v/>
      </c>
      <c r="P56" s="1" t="str">
        <f>IF(ISBLANK(formules!A56),"",formules!C56)</f>
        <v/>
      </c>
      <c r="Q56" s="1" t="str">
        <f>IF(ISBLANK(formules!A56),"",1)</f>
        <v/>
      </c>
      <c r="R56" s="1" t="str">
        <f>IF(ISBLANK(formules!A56),"",1)</f>
        <v/>
      </c>
    </row>
    <row r="57" spans="1:18" x14ac:dyDescent="0.2">
      <c r="A57" s="1" t="str">
        <f>IF(ISBLANK(formules!A57),"","variable")</f>
        <v/>
      </c>
      <c r="B57" s="1" t="str">
        <f>IF(ISBLANK(formules!A57),"",formules!E57)</f>
        <v/>
      </c>
      <c r="C57" s="1" t="str">
        <f>IF(ISBLANK(formules!A57),"",formules!F57)</f>
        <v/>
      </c>
      <c r="D57" s="1" t="str">
        <f>IF(ISBLANK(formules!A57),"",formules!G57)</f>
        <v/>
      </c>
      <c r="E57" s="1" t="str">
        <f>IF(ISBLANK(formules!A57),"",formules!H57)</f>
        <v/>
      </c>
      <c r="F57" s="1" t="str">
        <f>IF(ISBLANK(formules!A57),"",formules!I57)</f>
        <v/>
      </c>
      <c r="G57" s="1" t="str">
        <f>IF(ISBLANK(formules!A57),"","Color")</f>
        <v/>
      </c>
      <c r="H57" s="1" t="str">
        <f>IF(ISBLANK(formules!A57),"",formules!D57)</f>
        <v/>
      </c>
      <c r="I57" s="1" t="str">
        <f>IF(ISBLANK(formules!A57),"",1)</f>
        <v/>
      </c>
      <c r="J57" s="1" t="str">
        <f>IF(ISBLANK(formules!A57),"",1)</f>
        <v/>
      </c>
      <c r="K57" s="1" t="str">
        <f>IF(ISBLANK(formules!A57),"","Size")</f>
        <v/>
      </c>
      <c r="L57" s="1" t="str">
        <f>IF(ISBLANK(formules!A57),"",formules!J57)</f>
        <v/>
      </c>
      <c r="M57" s="1" t="str">
        <f>IF(ISBLANK(formules!A57),"",1)</f>
        <v/>
      </c>
      <c r="N57" s="1" t="str">
        <f>IF(ISBLANK(formules!A57),"",1)</f>
        <v/>
      </c>
      <c r="O57" s="1" t="str">
        <f>IF(ISBLANK(formules!A57),"","Style")</f>
        <v/>
      </c>
      <c r="P57" s="1" t="str">
        <f>IF(ISBLANK(formules!A57),"",formules!C57)</f>
        <v/>
      </c>
      <c r="Q57" s="1" t="str">
        <f>IF(ISBLANK(formules!A57),"",1)</f>
        <v/>
      </c>
      <c r="R57" s="1" t="str">
        <f>IF(ISBLANK(formules!A57),"",1)</f>
        <v/>
      </c>
    </row>
    <row r="58" spans="1:18" x14ac:dyDescent="0.2">
      <c r="A58" s="1" t="str">
        <f>IF(ISBLANK(formules!A58),"","variable")</f>
        <v/>
      </c>
      <c r="B58" s="1" t="str">
        <f>IF(ISBLANK(formules!A58),"",formules!E58)</f>
        <v/>
      </c>
      <c r="C58" s="1" t="str">
        <f>IF(ISBLANK(formules!A58),"",formules!F58)</f>
        <v/>
      </c>
      <c r="D58" s="1" t="str">
        <f>IF(ISBLANK(formules!A58),"",formules!G58)</f>
        <v/>
      </c>
      <c r="E58" s="1" t="str">
        <f>IF(ISBLANK(formules!A58),"",formules!H58)</f>
        <v/>
      </c>
      <c r="F58" s="1" t="str">
        <f>IF(ISBLANK(formules!A58),"",formules!I58)</f>
        <v/>
      </c>
      <c r="G58" s="1" t="str">
        <f>IF(ISBLANK(formules!A58),"","Color")</f>
        <v/>
      </c>
      <c r="H58" s="1" t="str">
        <f>IF(ISBLANK(formules!A58),"",formules!D58)</f>
        <v/>
      </c>
      <c r="I58" s="1" t="str">
        <f>IF(ISBLANK(formules!A58),"",1)</f>
        <v/>
      </c>
      <c r="J58" s="1" t="str">
        <f>IF(ISBLANK(formules!A58),"",1)</f>
        <v/>
      </c>
      <c r="K58" s="1" t="str">
        <f>IF(ISBLANK(formules!A58),"","Size")</f>
        <v/>
      </c>
      <c r="L58" s="1" t="str">
        <f>IF(ISBLANK(formules!A58),"",formules!J58)</f>
        <v/>
      </c>
      <c r="M58" s="1" t="str">
        <f>IF(ISBLANK(formules!A58),"",1)</f>
        <v/>
      </c>
      <c r="N58" s="1" t="str">
        <f>IF(ISBLANK(formules!A58),"",1)</f>
        <v/>
      </c>
      <c r="O58" s="1" t="str">
        <f>IF(ISBLANK(formules!A58),"","Style")</f>
        <v/>
      </c>
      <c r="P58" s="1" t="str">
        <f>IF(ISBLANK(formules!A58),"",formules!C58)</f>
        <v/>
      </c>
      <c r="Q58" s="1" t="str">
        <f>IF(ISBLANK(formules!A58),"",1)</f>
        <v/>
      </c>
      <c r="R58" s="1" t="str">
        <f>IF(ISBLANK(formules!A58),"",1)</f>
        <v/>
      </c>
    </row>
    <row r="59" spans="1:18" x14ac:dyDescent="0.2">
      <c r="A59" s="1" t="str">
        <f>IF(ISBLANK(formules!A59),"","variable")</f>
        <v/>
      </c>
      <c r="B59" s="1" t="str">
        <f>IF(ISBLANK(formules!A59),"",formules!E59)</f>
        <v/>
      </c>
      <c r="C59" s="1" t="str">
        <f>IF(ISBLANK(formules!A59),"",formules!F59)</f>
        <v/>
      </c>
      <c r="D59" s="1" t="str">
        <f>IF(ISBLANK(formules!A59),"",formules!G59)</f>
        <v/>
      </c>
      <c r="E59" s="1" t="str">
        <f>IF(ISBLANK(formules!A59),"",formules!H59)</f>
        <v/>
      </c>
      <c r="F59" s="1" t="str">
        <f>IF(ISBLANK(formules!A59),"",formules!I59)</f>
        <v/>
      </c>
      <c r="G59" s="1" t="str">
        <f>IF(ISBLANK(formules!A59),"","Color")</f>
        <v/>
      </c>
      <c r="H59" s="1" t="str">
        <f>IF(ISBLANK(formules!A59),"",formules!D59)</f>
        <v/>
      </c>
      <c r="I59" s="1" t="str">
        <f>IF(ISBLANK(formules!A59),"",1)</f>
        <v/>
      </c>
      <c r="J59" s="1" t="str">
        <f>IF(ISBLANK(formules!A59),"",1)</f>
        <v/>
      </c>
      <c r="K59" s="1" t="str">
        <f>IF(ISBLANK(formules!A59),"","Size")</f>
        <v/>
      </c>
      <c r="L59" s="1" t="str">
        <f>IF(ISBLANK(formules!A59),"",formules!J59)</f>
        <v/>
      </c>
      <c r="M59" s="1" t="str">
        <f>IF(ISBLANK(formules!A59),"",1)</f>
        <v/>
      </c>
      <c r="N59" s="1" t="str">
        <f>IF(ISBLANK(formules!A59),"",1)</f>
        <v/>
      </c>
      <c r="O59" s="1" t="str">
        <f>IF(ISBLANK(formules!A59),"","Style")</f>
        <v/>
      </c>
      <c r="P59" s="1" t="str">
        <f>IF(ISBLANK(formules!A59),"",formules!C59)</f>
        <v/>
      </c>
      <c r="Q59" s="1" t="str">
        <f>IF(ISBLANK(formules!A59),"",1)</f>
        <v/>
      </c>
      <c r="R59" s="1" t="str">
        <f>IF(ISBLANK(formules!A59),"",1)</f>
        <v/>
      </c>
    </row>
    <row r="60" spans="1:18" x14ac:dyDescent="0.2">
      <c r="A60" s="1" t="str">
        <f>IF(ISBLANK(formules!A60),"","variable")</f>
        <v/>
      </c>
      <c r="B60" s="1" t="str">
        <f>IF(ISBLANK(formules!A60),"",formules!E60)</f>
        <v/>
      </c>
      <c r="C60" s="1" t="str">
        <f>IF(ISBLANK(formules!A60),"",formules!F60)</f>
        <v/>
      </c>
      <c r="D60" s="1" t="str">
        <f>IF(ISBLANK(formules!A60),"",formules!G60)</f>
        <v/>
      </c>
      <c r="E60" s="1" t="str">
        <f>IF(ISBLANK(formules!A60),"",formules!H60)</f>
        <v/>
      </c>
      <c r="F60" s="1" t="str">
        <f>IF(ISBLANK(formules!A60),"",formules!I60)</f>
        <v/>
      </c>
      <c r="G60" s="1" t="str">
        <f>IF(ISBLANK(formules!A60),"","Color")</f>
        <v/>
      </c>
      <c r="H60" s="1" t="str">
        <f>IF(ISBLANK(formules!A60),"",formules!D60)</f>
        <v/>
      </c>
      <c r="I60" s="1" t="str">
        <f>IF(ISBLANK(formules!A60),"",1)</f>
        <v/>
      </c>
      <c r="J60" s="1" t="str">
        <f>IF(ISBLANK(formules!A60),"",1)</f>
        <v/>
      </c>
      <c r="K60" s="1" t="str">
        <f>IF(ISBLANK(formules!A60),"","Size")</f>
        <v/>
      </c>
      <c r="L60" s="1" t="str">
        <f>IF(ISBLANK(formules!A60),"",formules!J60)</f>
        <v/>
      </c>
      <c r="M60" s="1" t="str">
        <f>IF(ISBLANK(formules!A60),"",1)</f>
        <v/>
      </c>
      <c r="N60" s="1" t="str">
        <f>IF(ISBLANK(formules!A60),"",1)</f>
        <v/>
      </c>
      <c r="O60" s="1" t="str">
        <f>IF(ISBLANK(formules!A60),"","Style")</f>
        <v/>
      </c>
      <c r="P60" s="1" t="str">
        <f>IF(ISBLANK(formules!A60),"",formules!C60)</f>
        <v/>
      </c>
      <c r="Q60" s="1" t="str">
        <f>IF(ISBLANK(formules!A60),"",1)</f>
        <v/>
      </c>
      <c r="R60" s="1" t="str">
        <f>IF(ISBLANK(formules!A60),"",1)</f>
        <v/>
      </c>
    </row>
    <row r="61" spans="1:18" x14ac:dyDescent="0.2">
      <c r="A61" s="1" t="str">
        <f>IF(ISBLANK(formules!A61),"","variable")</f>
        <v/>
      </c>
      <c r="B61" s="1" t="str">
        <f>IF(ISBLANK(formules!A61),"",formules!E61)</f>
        <v/>
      </c>
      <c r="C61" s="1" t="str">
        <f>IF(ISBLANK(formules!A61),"",formules!F61)</f>
        <v/>
      </c>
      <c r="D61" s="1" t="str">
        <f>IF(ISBLANK(formules!A61),"",formules!G61)</f>
        <v/>
      </c>
      <c r="E61" s="1" t="str">
        <f>IF(ISBLANK(formules!A61),"",formules!H61)</f>
        <v/>
      </c>
      <c r="F61" s="1" t="str">
        <f>IF(ISBLANK(formules!A61),"",formules!I61)</f>
        <v/>
      </c>
      <c r="G61" s="1" t="str">
        <f>IF(ISBLANK(formules!A61),"","Color")</f>
        <v/>
      </c>
      <c r="H61" s="1" t="str">
        <f>IF(ISBLANK(formules!A61),"",formules!D61)</f>
        <v/>
      </c>
      <c r="I61" s="1" t="str">
        <f>IF(ISBLANK(formules!A61),"",1)</f>
        <v/>
      </c>
      <c r="J61" s="1" t="str">
        <f>IF(ISBLANK(formules!A61),"",1)</f>
        <v/>
      </c>
      <c r="K61" s="1" t="str">
        <f>IF(ISBLANK(formules!A61),"","Size")</f>
        <v/>
      </c>
      <c r="L61" s="1" t="str">
        <f>IF(ISBLANK(formules!A61),"",formules!J61)</f>
        <v/>
      </c>
      <c r="M61" s="1" t="str">
        <f>IF(ISBLANK(formules!A61),"",1)</f>
        <v/>
      </c>
      <c r="N61" s="1" t="str">
        <f>IF(ISBLANK(formules!A61),"",1)</f>
        <v/>
      </c>
      <c r="O61" s="1" t="str">
        <f>IF(ISBLANK(formules!A61),"","Style")</f>
        <v/>
      </c>
      <c r="P61" s="1" t="str">
        <f>IF(ISBLANK(formules!A61),"",formules!C61)</f>
        <v/>
      </c>
      <c r="Q61" s="1" t="str">
        <f>IF(ISBLANK(formules!A61),"",1)</f>
        <v/>
      </c>
      <c r="R61" s="1" t="str">
        <f>IF(ISBLANK(formules!A61),"",1)</f>
        <v/>
      </c>
    </row>
    <row r="62" spans="1:18" x14ac:dyDescent="0.2">
      <c r="A62" s="1" t="str">
        <f>IF(ISBLANK(formules!A62),"","variable")</f>
        <v/>
      </c>
      <c r="B62" s="1" t="str">
        <f>IF(ISBLANK(formules!A62),"",formules!E62)</f>
        <v/>
      </c>
      <c r="C62" s="1" t="str">
        <f>IF(ISBLANK(formules!A62),"",formules!F62)</f>
        <v/>
      </c>
      <c r="D62" s="1" t="str">
        <f>IF(ISBLANK(formules!A62),"",formules!G62)</f>
        <v/>
      </c>
      <c r="E62" s="1" t="str">
        <f>IF(ISBLANK(formules!A62),"",formules!H62)</f>
        <v/>
      </c>
      <c r="F62" s="1" t="str">
        <f>IF(ISBLANK(formules!A62),"",formules!I62)</f>
        <v/>
      </c>
      <c r="G62" s="1" t="str">
        <f>IF(ISBLANK(formules!A62),"","Color")</f>
        <v/>
      </c>
      <c r="H62" s="1" t="str">
        <f>IF(ISBLANK(formules!A62),"",formules!D62)</f>
        <v/>
      </c>
      <c r="I62" s="1" t="str">
        <f>IF(ISBLANK(formules!A62),"",1)</f>
        <v/>
      </c>
      <c r="J62" s="1" t="str">
        <f>IF(ISBLANK(formules!A62),"",1)</f>
        <v/>
      </c>
      <c r="K62" s="1" t="str">
        <f>IF(ISBLANK(formules!A62),"","Size")</f>
        <v/>
      </c>
      <c r="L62" s="1" t="str">
        <f>IF(ISBLANK(formules!A62),"",formules!J62)</f>
        <v/>
      </c>
      <c r="M62" s="1" t="str">
        <f>IF(ISBLANK(formules!A62),"",1)</f>
        <v/>
      </c>
      <c r="N62" s="1" t="str">
        <f>IF(ISBLANK(formules!A62),"",1)</f>
        <v/>
      </c>
      <c r="O62" s="1" t="str">
        <f>IF(ISBLANK(formules!A62),"","Style")</f>
        <v/>
      </c>
      <c r="P62" s="1" t="str">
        <f>IF(ISBLANK(formules!A62),"",formules!C62)</f>
        <v/>
      </c>
      <c r="Q62" s="1" t="str">
        <f>IF(ISBLANK(formules!A62),"",1)</f>
        <v/>
      </c>
      <c r="R62" s="1" t="str">
        <f>IF(ISBLANK(formules!A62),"",1)</f>
        <v/>
      </c>
    </row>
    <row r="63" spans="1:18" x14ac:dyDescent="0.2">
      <c r="A63" s="1" t="str">
        <f>IF(ISBLANK(formules!A63),"","variable")</f>
        <v/>
      </c>
      <c r="B63" s="1" t="str">
        <f>IF(ISBLANK(formules!A63),"",formules!E63)</f>
        <v/>
      </c>
      <c r="C63" s="1" t="str">
        <f>IF(ISBLANK(formules!A63),"",formules!F63)</f>
        <v/>
      </c>
      <c r="D63" s="1" t="str">
        <f>IF(ISBLANK(formules!A63),"",formules!G63)</f>
        <v/>
      </c>
      <c r="E63" s="1" t="str">
        <f>IF(ISBLANK(formules!A63),"",formules!H63)</f>
        <v/>
      </c>
      <c r="F63" s="1" t="str">
        <f>IF(ISBLANK(formules!A63),"",formules!I63)</f>
        <v/>
      </c>
      <c r="G63" s="1" t="str">
        <f>IF(ISBLANK(formules!A63),"","Color")</f>
        <v/>
      </c>
      <c r="H63" s="1" t="str">
        <f>IF(ISBLANK(formules!A63),"",formules!D63)</f>
        <v/>
      </c>
      <c r="I63" s="1" t="str">
        <f>IF(ISBLANK(formules!A63),"",1)</f>
        <v/>
      </c>
      <c r="J63" s="1" t="str">
        <f>IF(ISBLANK(formules!A63),"",1)</f>
        <v/>
      </c>
      <c r="K63" s="1" t="str">
        <f>IF(ISBLANK(formules!A63),"","Size")</f>
        <v/>
      </c>
      <c r="L63" s="1" t="str">
        <f>IF(ISBLANK(formules!A63),"",formules!J63)</f>
        <v/>
      </c>
      <c r="M63" s="1" t="str">
        <f>IF(ISBLANK(formules!A63),"",1)</f>
        <v/>
      </c>
      <c r="N63" s="1" t="str">
        <f>IF(ISBLANK(formules!A63),"",1)</f>
        <v/>
      </c>
      <c r="O63" s="1" t="str">
        <f>IF(ISBLANK(formules!A63),"","Style")</f>
        <v/>
      </c>
      <c r="P63" s="1" t="str">
        <f>IF(ISBLANK(formules!A63),"",formules!C63)</f>
        <v/>
      </c>
      <c r="Q63" s="1" t="str">
        <f>IF(ISBLANK(formules!A63),"",1)</f>
        <v/>
      </c>
      <c r="R63" s="1" t="str">
        <f>IF(ISBLANK(formules!A63),"",1)</f>
        <v/>
      </c>
    </row>
    <row r="64" spans="1:18" x14ac:dyDescent="0.2">
      <c r="A64" s="1" t="str">
        <f>IF(ISBLANK(formules!A64),"","variable")</f>
        <v/>
      </c>
      <c r="B64" s="1" t="str">
        <f>IF(ISBLANK(formules!A64),"",formules!E64)</f>
        <v/>
      </c>
      <c r="C64" s="1" t="str">
        <f>IF(ISBLANK(formules!A64),"",formules!F64)</f>
        <v/>
      </c>
      <c r="D64" s="1" t="str">
        <f>IF(ISBLANK(formules!A64),"",formules!G64)</f>
        <v/>
      </c>
      <c r="E64" s="1" t="str">
        <f>IF(ISBLANK(formules!A64),"",formules!H64)</f>
        <v/>
      </c>
      <c r="F64" s="1" t="str">
        <f>IF(ISBLANK(formules!A64),"",formules!I64)</f>
        <v/>
      </c>
      <c r="G64" s="1" t="str">
        <f>IF(ISBLANK(formules!A64),"","Color")</f>
        <v/>
      </c>
      <c r="H64" s="1" t="str">
        <f>IF(ISBLANK(formules!A64),"",formules!D64)</f>
        <v/>
      </c>
      <c r="I64" s="1" t="str">
        <f>IF(ISBLANK(formules!A64),"",1)</f>
        <v/>
      </c>
      <c r="J64" s="1" t="str">
        <f>IF(ISBLANK(formules!A64),"",1)</f>
        <v/>
      </c>
      <c r="K64" s="1" t="str">
        <f>IF(ISBLANK(formules!A64),"","Size")</f>
        <v/>
      </c>
      <c r="L64" s="1" t="str">
        <f>IF(ISBLANK(formules!A64),"",formules!J64)</f>
        <v/>
      </c>
      <c r="M64" s="1" t="str">
        <f>IF(ISBLANK(formules!A64),"",1)</f>
        <v/>
      </c>
      <c r="N64" s="1" t="str">
        <f>IF(ISBLANK(formules!A64),"",1)</f>
        <v/>
      </c>
      <c r="O64" s="1" t="str">
        <f>IF(ISBLANK(formules!A64),"","Style")</f>
        <v/>
      </c>
      <c r="P64" s="1" t="str">
        <f>IF(ISBLANK(formules!A64),"",formules!C64)</f>
        <v/>
      </c>
      <c r="Q64" s="1" t="str">
        <f>IF(ISBLANK(formules!A64),"",1)</f>
        <v/>
      </c>
      <c r="R64" s="1" t="str">
        <f>IF(ISBLANK(formules!A64),"",1)</f>
        <v/>
      </c>
    </row>
    <row r="65" spans="1:18" x14ac:dyDescent="0.2">
      <c r="A65" s="1" t="str">
        <f>IF(ISBLANK(formules!A65),"","variable")</f>
        <v/>
      </c>
      <c r="B65" s="1" t="str">
        <f>IF(ISBLANK(formules!A65),"",formules!E65)</f>
        <v/>
      </c>
      <c r="C65" s="1" t="str">
        <f>IF(ISBLANK(formules!A65),"",formules!F65)</f>
        <v/>
      </c>
      <c r="D65" s="1" t="str">
        <f>IF(ISBLANK(formules!A65),"",formules!G65)</f>
        <v/>
      </c>
      <c r="E65" s="1" t="str">
        <f>IF(ISBLANK(formules!A65),"",formules!H65)</f>
        <v/>
      </c>
      <c r="F65" s="1" t="str">
        <f>IF(ISBLANK(formules!A65),"",formules!I65)</f>
        <v/>
      </c>
      <c r="G65" s="1" t="str">
        <f>IF(ISBLANK(formules!A65),"","Color")</f>
        <v/>
      </c>
      <c r="H65" s="1" t="str">
        <f>IF(ISBLANK(formules!A65),"",formules!D65)</f>
        <v/>
      </c>
      <c r="I65" s="1" t="str">
        <f>IF(ISBLANK(formules!A65),"",1)</f>
        <v/>
      </c>
      <c r="J65" s="1" t="str">
        <f>IF(ISBLANK(formules!A65),"",1)</f>
        <v/>
      </c>
      <c r="K65" s="1" t="str">
        <f>IF(ISBLANK(formules!A65),"","Size")</f>
        <v/>
      </c>
      <c r="L65" s="1" t="str">
        <f>IF(ISBLANK(formules!A65),"",formules!J65)</f>
        <v/>
      </c>
      <c r="M65" s="1" t="str">
        <f>IF(ISBLANK(formules!A65),"",1)</f>
        <v/>
      </c>
      <c r="N65" s="1" t="str">
        <f>IF(ISBLANK(formules!A65),"",1)</f>
        <v/>
      </c>
      <c r="O65" s="1" t="str">
        <f>IF(ISBLANK(formules!A65),"","Style")</f>
        <v/>
      </c>
      <c r="P65" s="1" t="str">
        <f>IF(ISBLANK(formules!A65),"",formules!C65)</f>
        <v/>
      </c>
      <c r="Q65" s="1" t="str">
        <f>IF(ISBLANK(formules!A65),"",1)</f>
        <v/>
      </c>
      <c r="R65" s="1" t="str">
        <f>IF(ISBLANK(formules!A65),"",1)</f>
        <v/>
      </c>
    </row>
    <row r="66" spans="1:18" x14ac:dyDescent="0.2">
      <c r="A66" s="1" t="str">
        <f>IF(ISBLANK(formules!A66),"","variable")</f>
        <v/>
      </c>
      <c r="B66" s="1" t="str">
        <f>IF(ISBLANK(formules!A66),"",formules!E66)</f>
        <v/>
      </c>
      <c r="C66" s="1" t="str">
        <f>IF(ISBLANK(formules!A66),"",formules!F66)</f>
        <v/>
      </c>
      <c r="D66" s="1" t="str">
        <f>IF(ISBLANK(formules!A66),"",formules!G66)</f>
        <v/>
      </c>
      <c r="E66" s="1" t="str">
        <f>IF(ISBLANK(formules!A66),"",formules!H66)</f>
        <v/>
      </c>
      <c r="F66" s="1" t="str">
        <f>IF(ISBLANK(formules!A66),"",formules!I66)</f>
        <v/>
      </c>
      <c r="G66" s="1" t="str">
        <f>IF(ISBLANK(formules!A66),"","Color")</f>
        <v/>
      </c>
      <c r="H66" s="1" t="str">
        <f>IF(ISBLANK(formules!A66),"",formules!D66)</f>
        <v/>
      </c>
      <c r="I66" s="1" t="str">
        <f>IF(ISBLANK(formules!A66),"",1)</f>
        <v/>
      </c>
      <c r="J66" s="1" t="str">
        <f>IF(ISBLANK(formules!A66),"",1)</f>
        <v/>
      </c>
      <c r="K66" s="1" t="str">
        <f>IF(ISBLANK(formules!A66),"","Size")</f>
        <v/>
      </c>
      <c r="L66" s="1" t="str">
        <f>IF(ISBLANK(formules!A66),"",formules!J66)</f>
        <v/>
      </c>
      <c r="M66" s="1" t="str">
        <f>IF(ISBLANK(formules!A66),"",1)</f>
        <v/>
      </c>
      <c r="N66" s="1" t="str">
        <f>IF(ISBLANK(formules!A66),"",1)</f>
        <v/>
      </c>
      <c r="O66" s="1" t="str">
        <f>IF(ISBLANK(formules!A66),"","Style")</f>
        <v/>
      </c>
      <c r="P66" s="1" t="str">
        <f>IF(ISBLANK(formules!A66),"",formules!C66)</f>
        <v/>
      </c>
      <c r="Q66" s="1" t="str">
        <f>IF(ISBLANK(formules!A66),"",1)</f>
        <v/>
      </c>
      <c r="R66" s="1" t="str">
        <f>IF(ISBLANK(formules!A66),"",1)</f>
        <v/>
      </c>
    </row>
    <row r="67" spans="1:18" x14ac:dyDescent="0.2">
      <c r="A67" s="1" t="str">
        <f>IF(ISBLANK(formules!A67),"","variable")</f>
        <v/>
      </c>
      <c r="B67" s="1" t="str">
        <f>IF(ISBLANK(formules!A67),"",formules!E67)</f>
        <v/>
      </c>
      <c r="C67" s="1" t="str">
        <f>IF(ISBLANK(formules!A67),"",formules!F67)</f>
        <v/>
      </c>
      <c r="D67" s="1" t="str">
        <f>IF(ISBLANK(formules!A67),"",formules!G67)</f>
        <v/>
      </c>
      <c r="E67" s="1" t="str">
        <f>IF(ISBLANK(formules!A67),"",formules!H67)</f>
        <v/>
      </c>
      <c r="F67" s="1" t="str">
        <f>IF(ISBLANK(formules!A67),"",formules!I67)</f>
        <v/>
      </c>
      <c r="G67" s="1" t="str">
        <f>IF(ISBLANK(formules!A67),"","Color")</f>
        <v/>
      </c>
      <c r="H67" s="1" t="str">
        <f>IF(ISBLANK(formules!A67),"",formules!D67)</f>
        <v/>
      </c>
      <c r="I67" s="1" t="str">
        <f>IF(ISBLANK(formules!A67),"",1)</f>
        <v/>
      </c>
      <c r="J67" s="1" t="str">
        <f>IF(ISBLANK(formules!A67),"",1)</f>
        <v/>
      </c>
      <c r="K67" s="1" t="str">
        <f>IF(ISBLANK(formules!A67),"","Size")</f>
        <v/>
      </c>
      <c r="L67" s="1" t="str">
        <f>IF(ISBLANK(formules!A67),"",formules!J67)</f>
        <v/>
      </c>
      <c r="M67" s="1" t="str">
        <f>IF(ISBLANK(formules!A67),"",1)</f>
        <v/>
      </c>
      <c r="N67" s="1" t="str">
        <f>IF(ISBLANK(formules!A67),"",1)</f>
        <v/>
      </c>
      <c r="O67" s="1" t="str">
        <f>IF(ISBLANK(formules!A67),"","Style")</f>
        <v/>
      </c>
      <c r="P67" s="1" t="str">
        <f>IF(ISBLANK(formules!A67),"",formules!C67)</f>
        <v/>
      </c>
      <c r="Q67" s="1" t="str">
        <f>IF(ISBLANK(formules!A67),"",1)</f>
        <v/>
      </c>
      <c r="R67" s="1" t="str">
        <f>IF(ISBLANK(formules!A67),"",1)</f>
        <v/>
      </c>
    </row>
    <row r="68" spans="1:18" x14ac:dyDescent="0.2">
      <c r="A68" s="1" t="str">
        <f>IF(ISBLANK(formules!A68),"","variable")</f>
        <v/>
      </c>
      <c r="B68" s="1" t="str">
        <f>IF(ISBLANK(formules!A68),"",formules!E68)</f>
        <v/>
      </c>
      <c r="C68" s="1" t="str">
        <f>IF(ISBLANK(formules!A68),"",formules!F68)</f>
        <v/>
      </c>
      <c r="D68" s="1" t="str">
        <f>IF(ISBLANK(formules!A68),"",formules!G68)</f>
        <v/>
      </c>
      <c r="E68" s="1" t="str">
        <f>IF(ISBLANK(formules!A68),"",formules!H68)</f>
        <v/>
      </c>
      <c r="F68" s="1" t="str">
        <f>IF(ISBLANK(formules!A68),"",formules!I68)</f>
        <v/>
      </c>
      <c r="G68" s="1" t="str">
        <f>IF(ISBLANK(formules!A68),"","Color")</f>
        <v/>
      </c>
      <c r="H68" s="1" t="str">
        <f>IF(ISBLANK(formules!A68),"",formules!D68)</f>
        <v/>
      </c>
      <c r="I68" s="1" t="str">
        <f>IF(ISBLANK(formules!A68),"",1)</f>
        <v/>
      </c>
      <c r="J68" s="1" t="str">
        <f>IF(ISBLANK(formules!A68),"",1)</f>
        <v/>
      </c>
      <c r="K68" s="1" t="str">
        <f>IF(ISBLANK(formules!A68),"","Size")</f>
        <v/>
      </c>
      <c r="L68" s="1" t="str">
        <f>IF(ISBLANK(formules!A68),"",formules!J68)</f>
        <v/>
      </c>
      <c r="M68" s="1" t="str">
        <f>IF(ISBLANK(formules!A68),"",1)</f>
        <v/>
      </c>
      <c r="N68" s="1" t="str">
        <f>IF(ISBLANK(formules!A68),"",1)</f>
        <v/>
      </c>
      <c r="O68" s="1" t="str">
        <f>IF(ISBLANK(formules!A68),"","Style")</f>
        <v/>
      </c>
      <c r="P68" s="1" t="str">
        <f>IF(ISBLANK(formules!A68),"",formules!C68)</f>
        <v/>
      </c>
      <c r="Q68" s="1" t="str">
        <f>IF(ISBLANK(formules!A68),"",1)</f>
        <v/>
      </c>
      <c r="R68" s="1" t="str">
        <f>IF(ISBLANK(formules!A68),"",1)</f>
        <v/>
      </c>
    </row>
    <row r="69" spans="1:18" x14ac:dyDescent="0.2">
      <c r="A69" s="1" t="str">
        <f>IF(ISBLANK(formules!A69),"","variable")</f>
        <v/>
      </c>
      <c r="B69" s="1" t="str">
        <f>IF(ISBLANK(formules!A69),"",formules!E69)</f>
        <v/>
      </c>
      <c r="C69" s="1" t="str">
        <f>IF(ISBLANK(formules!A69),"",formules!F69)</f>
        <v/>
      </c>
      <c r="D69" s="1" t="str">
        <f>IF(ISBLANK(formules!A69),"",formules!G69)</f>
        <v/>
      </c>
      <c r="E69" s="1" t="str">
        <f>IF(ISBLANK(formules!A69),"",formules!H69)</f>
        <v/>
      </c>
      <c r="F69" s="1" t="str">
        <f>IF(ISBLANK(formules!A69),"",formules!I69)</f>
        <v/>
      </c>
      <c r="G69" s="1" t="str">
        <f>IF(ISBLANK(formules!A69),"","Color")</f>
        <v/>
      </c>
      <c r="H69" s="1" t="str">
        <f>IF(ISBLANK(formules!A69),"",formules!D69)</f>
        <v/>
      </c>
      <c r="I69" s="1" t="str">
        <f>IF(ISBLANK(formules!A69),"",1)</f>
        <v/>
      </c>
      <c r="J69" s="1" t="str">
        <f>IF(ISBLANK(formules!A69),"",1)</f>
        <v/>
      </c>
      <c r="K69" s="1" t="str">
        <f>IF(ISBLANK(formules!A69),"","Size")</f>
        <v/>
      </c>
      <c r="L69" s="1" t="str">
        <f>IF(ISBLANK(formules!A69),"",formules!J69)</f>
        <v/>
      </c>
      <c r="M69" s="1" t="str">
        <f>IF(ISBLANK(formules!A69),"",1)</f>
        <v/>
      </c>
      <c r="N69" s="1" t="str">
        <f>IF(ISBLANK(formules!A69),"",1)</f>
        <v/>
      </c>
      <c r="O69" s="1" t="str">
        <f>IF(ISBLANK(formules!A69),"","Style")</f>
        <v/>
      </c>
      <c r="P69" s="1" t="str">
        <f>IF(ISBLANK(formules!A69),"",formules!C69)</f>
        <v/>
      </c>
      <c r="Q69" s="1" t="str">
        <f>IF(ISBLANK(formules!A69),"",1)</f>
        <v/>
      </c>
      <c r="R69" s="1" t="str">
        <f>IF(ISBLANK(formules!A69),"",1)</f>
        <v/>
      </c>
    </row>
    <row r="70" spans="1:18" x14ac:dyDescent="0.2">
      <c r="A70" s="1" t="str">
        <f>IF(ISBLANK(formules!A70),"","variable")</f>
        <v/>
      </c>
      <c r="B70" s="1" t="str">
        <f>IF(ISBLANK(formules!A70),"",formules!E70)</f>
        <v/>
      </c>
      <c r="C70" s="1" t="str">
        <f>IF(ISBLANK(formules!A70),"",formules!F70)</f>
        <v/>
      </c>
      <c r="D70" s="1" t="str">
        <f>IF(ISBLANK(formules!A70),"",formules!G70)</f>
        <v/>
      </c>
      <c r="E70" s="1" t="str">
        <f>IF(ISBLANK(formules!A70),"",formules!H70)</f>
        <v/>
      </c>
      <c r="F70" s="1" t="str">
        <f>IF(ISBLANK(formules!A70),"",formules!I70)</f>
        <v/>
      </c>
      <c r="G70" s="1" t="str">
        <f>IF(ISBLANK(formules!A70),"","Color")</f>
        <v/>
      </c>
      <c r="H70" s="1" t="str">
        <f>IF(ISBLANK(formules!A70),"",formules!D70)</f>
        <v/>
      </c>
      <c r="I70" s="1" t="str">
        <f>IF(ISBLANK(formules!A70),"",1)</f>
        <v/>
      </c>
      <c r="J70" s="1" t="str">
        <f>IF(ISBLANK(formules!A70),"",1)</f>
        <v/>
      </c>
      <c r="K70" s="1" t="str">
        <f>IF(ISBLANK(formules!A70),"","Size")</f>
        <v/>
      </c>
      <c r="L70" s="1" t="str">
        <f>IF(ISBLANK(formules!A70),"",formules!J70)</f>
        <v/>
      </c>
      <c r="M70" s="1" t="str">
        <f>IF(ISBLANK(formules!A70),"",1)</f>
        <v/>
      </c>
      <c r="N70" s="1" t="str">
        <f>IF(ISBLANK(formules!A70),"",1)</f>
        <v/>
      </c>
      <c r="O70" s="1" t="str">
        <f>IF(ISBLANK(formules!A70),"","Style")</f>
        <v/>
      </c>
      <c r="P70" s="1" t="str">
        <f>IF(ISBLANK(formules!A70),"",formules!C70)</f>
        <v/>
      </c>
      <c r="Q70" s="1" t="str">
        <f>IF(ISBLANK(formules!A70),"",1)</f>
        <v/>
      </c>
      <c r="R70" s="1" t="str">
        <f>IF(ISBLANK(formules!A70),"",1)</f>
        <v/>
      </c>
    </row>
    <row r="71" spans="1:18" x14ac:dyDescent="0.2">
      <c r="A71" s="1" t="str">
        <f>IF(ISBLANK(formules!A71),"","variable")</f>
        <v/>
      </c>
      <c r="B71" s="1" t="str">
        <f>IF(ISBLANK(formules!A71),"",formules!E71)</f>
        <v/>
      </c>
      <c r="C71" s="1" t="str">
        <f>IF(ISBLANK(formules!A71),"",formules!F71)</f>
        <v/>
      </c>
      <c r="D71" s="1" t="str">
        <f>IF(ISBLANK(formules!A71),"",formules!G71)</f>
        <v/>
      </c>
      <c r="E71" s="1" t="str">
        <f>IF(ISBLANK(formules!A71),"",formules!H71)</f>
        <v/>
      </c>
      <c r="F71" s="1" t="str">
        <f>IF(ISBLANK(formules!A71),"",formules!I71)</f>
        <v/>
      </c>
      <c r="G71" s="1" t="str">
        <f>IF(ISBLANK(formules!A71),"","Color")</f>
        <v/>
      </c>
      <c r="H71" s="1" t="str">
        <f>IF(ISBLANK(formules!A71),"",formules!D71)</f>
        <v/>
      </c>
      <c r="I71" s="1" t="str">
        <f>IF(ISBLANK(formules!A71),"",1)</f>
        <v/>
      </c>
      <c r="J71" s="1" t="str">
        <f>IF(ISBLANK(formules!A71),"",1)</f>
        <v/>
      </c>
      <c r="K71" s="1" t="str">
        <f>IF(ISBLANK(formules!A71),"","Size")</f>
        <v/>
      </c>
      <c r="L71" s="1" t="str">
        <f>IF(ISBLANK(formules!A71),"",formules!J71)</f>
        <v/>
      </c>
      <c r="M71" s="1" t="str">
        <f>IF(ISBLANK(formules!A71),"",1)</f>
        <v/>
      </c>
      <c r="N71" s="1" t="str">
        <f>IF(ISBLANK(formules!A71),"",1)</f>
        <v/>
      </c>
      <c r="O71" s="1" t="str">
        <f>IF(ISBLANK(formules!A71),"","Style")</f>
        <v/>
      </c>
      <c r="P71" s="1" t="str">
        <f>IF(ISBLANK(formules!A71),"",formules!C71)</f>
        <v/>
      </c>
      <c r="Q71" s="1" t="str">
        <f>IF(ISBLANK(formules!A71),"",1)</f>
        <v/>
      </c>
      <c r="R71" s="1" t="str">
        <f>IF(ISBLANK(formules!A71),"",1)</f>
        <v/>
      </c>
    </row>
    <row r="72" spans="1:18" x14ac:dyDescent="0.2">
      <c r="A72" s="1" t="str">
        <f>IF(ISBLANK(formules!A72),"","variable")</f>
        <v/>
      </c>
      <c r="B72" s="1" t="str">
        <f>IF(ISBLANK(formules!A72),"",formules!E72)</f>
        <v/>
      </c>
      <c r="C72" s="1" t="str">
        <f>IF(ISBLANK(formules!A72),"",formules!F72)</f>
        <v/>
      </c>
      <c r="D72" s="1" t="str">
        <f>IF(ISBLANK(formules!A72),"",formules!G72)</f>
        <v/>
      </c>
      <c r="E72" s="1" t="str">
        <f>IF(ISBLANK(formules!A72),"",formules!H72)</f>
        <v/>
      </c>
      <c r="F72" s="1" t="str">
        <f>IF(ISBLANK(formules!A72),"",formules!I72)</f>
        <v/>
      </c>
      <c r="G72" s="1" t="str">
        <f>IF(ISBLANK(formules!A72),"","Color")</f>
        <v/>
      </c>
      <c r="H72" s="1" t="str">
        <f>IF(ISBLANK(formules!A72),"",formules!D72)</f>
        <v/>
      </c>
      <c r="I72" s="1" t="str">
        <f>IF(ISBLANK(formules!A72),"",1)</f>
        <v/>
      </c>
      <c r="J72" s="1" t="str">
        <f>IF(ISBLANK(formules!A72),"",1)</f>
        <v/>
      </c>
      <c r="K72" s="1" t="str">
        <f>IF(ISBLANK(formules!A72),"","Size")</f>
        <v/>
      </c>
      <c r="L72" s="1" t="str">
        <f>IF(ISBLANK(formules!A72),"",formules!J72)</f>
        <v/>
      </c>
      <c r="M72" s="1" t="str">
        <f>IF(ISBLANK(formules!A72),"",1)</f>
        <v/>
      </c>
      <c r="N72" s="1" t="str">
        <f>IF(ISBLANK(formules!A72),"",1)</f>
        <v/>
      </c>
      <c r="O72" s="1" t="str">
        <f>IF(ISBLANK(formules!A72),"","Style")</f>
        <v/>
      </c>
      <c r="P72" s="1" t="str">
        <f>IF(ISBLANK(formules!A72),"",formules!C72)</f>
        <v/>
      </c>
      <c r="Q72" s="1" t="str">
        <f>IF(ISBLANK(formules!A72),"",1)</f>
        <v/>
      </c>
      <c r="R72" s="1" t="str">
        <f>IF(ISBLANK(formules!A72),"",1)</f>
        <v/>
      </c>
    </row>
    <row r="73" spans="1:18" x14ac:dyDescent="0.2">
      <c r="A73" s="1" t="str">
        <f>IF(ISBLANK(formules!A73),"","variable")</f>
        <v/>
      </c>
      <c r="B73" s="1" t="str">
        <f>IF(ISBLANK(formules!A73),"",formules!E73)</f>
        <v/>
      </c>
      <c r="C73" s="1" t="str">
        <f>IF(ISBLANK(formules!A73),"",formules!F73)</f>
        <v/>
      </c>
      <c r="D73" s="1" t="str">
        <f>IF(ISBLANK(formules!A73),"",formules!G73)</f>
        <v/>
      </c>
      <c r="E73" s="1" t="str">
        <f>IF(ISBLANK(formules!A73),"",formules!H73)</f>
        <v/>
      </c>
      <c r="F73" s="1" t="str">
        <f>IF(ISBLANK(formules!A73),"",formules!I73)</f>
        <v/>
      </c>
      <c r="G73" s="1" t="str">
        <f>IF(ISBLANK(formules!A73),"","Color")</f>
        <v/>
      </c>
      <c r="H73" s="1" t="str">
        <f>IF(ISBLANK(formules!A73),"",formules!D73)</f>
        <v/>
      </c>
      <c r="I73" s="1" t="str">
        <f>IF(ISBLANK(formules!A73),"",1)</f>
        <v/>
      </c>
      <c r="J73" s="1" t="str">
        <f>IF(ISBLANK(formules!A73),"",1)</f>
        <v/>
      </c>
      <c r="K73" s="1" t="str">
        <f>IF(ISBLANK(formules!A73),"","Size")</f>
        <v/>
      </c>
      <c r="L73" s="1" t="str">
        <f>IF(ISBLANK(formules!A73),"",formules!J73)</f>
        <v/>
      </c>
      <c r="M73" s="1" t="str">
        <f>IF(ISBLANK(formules!A73),"",1)</f>
        <v/>
      </c>
      <c r="N73" s="1" t="str">
        <f>IF(ISBLANK(formules!A73),"",1)</f>
        <v/>
      </c>
      <c r="O73" s="1" t="str">
        <f>IF(ISBLANK(formules!A73),"","Style")</f>
        <v/>
      </c>
      <c r="P73" s="1" t="str">
        <f>IF(ISBLANK(formules!A73),"",formules!C73)</f>
        <v/>
      </c>
      <c r="Q73" s="1" t="str">
        <f>IF(ISBLANK(formules!A73),"",1)</f>
        <v/>
      </c>
      <c r="R73" s="1" t="str">
        <f>IF(ISBLANK(formules!A73),"",1)</f>
        <v/>
      </c>
    </row>
    <row r="74" spans="1:18" x14ac:dyDescent="0.2">
      <c r="A74" s="1" t="str">
        <f>IF(ISBLANK(formules!A74),"","variable")</f>
        <v/>
      </c>
      <c r="B74" s="1" t="str">
        <f>IF(ISBLANK(formules!A74),"",formules!E74)</f>
        <v/>
      </c>
      <c r="C74" s="1" t="str">
        <f>IF(ISBLANK(formules!A74),"",formules!F74)</f>
        <v/>
      </c>
      <c r="D74" s="1" t="str">
        <f>IF(ISBLANK(formules!A74),"",formules!G74)</f>
        <v/>
      </c>
      <c r="E74" s="1" t="str">
        <f>IF(ISBLANK(formules!A74),"",formules!H74)</f>
        <v/>
      </c>
      <c r="F74" s="1" t="str">
        <f>IF(ISBLANK(formules!A74),"",formules!I74)</f>
        <v/>
      </c>
      <c r="G74" s="1" t="str">
        <f>IF(ISBLANK(formules!A74),"","Color")</f>
        <v/>
      </c>
      <c r="H74" s="1" t="str">
        <f>IF(ISBLANK(formules!A74),"",formules!D74)</f>
        <v/>
      </c>
      <c r="I74" s="1" t="str">
        <f>IF(ISBLANK(formules!A74),"",1)</f>
        <v/>
      </c>
      <c r="J74" s="1" t="str">
        <f>IF(ISBLANK(formules!A74),"",1)</f>
        <v/>
      </c>
      <c r="K74" s="1" t="str">
        <f>IF(ISBLANK(formules!A74),"","Size")</f>
        <v/>
      </c>
      <c r="L74" s="1" t="str">
        <f>IF(ISBLANK(formules!A74),"",formules!J74)</f>
        <v/>
      </c>
      <c r="M74" s="1" t="str">
        <f>IF(ISBLANK(formules!A74),"",1)</f>
        <v/>
      </c>
      <c r="N74" s="1" t="str">
        <f>IF(ISBLANK(formules!A74),"",1)</f>
        <v/>
      </c>
      <c r="O74" s="1" t="str">
        <f>IF(ISBLANK(formules!A74),"","Style")</f>
        <v/>
      </c>
      <c r="P74" s="1" t="str">
        <f>IF(ISBLANK(formules!A74),"",formules!C74)</f>
        <v/>
      </c>
      <c r="Q74" s="1" t="str">
        <f>IF(ISBLANK(formules!A74),"",1)</f>
        <v/>
      </c>
      <c r="R74" s="1" t="str">
        <f>IF(ISBLANK(formules!A74),"",1)</f>
        <v/>
      </c>
    </row>
    <row r="75" spans="1:18" x14ac:dyDescent="0.2">
      <c r="A75" s="1" t="str">
        <f>IF(ISBLANK(formules!A75),"","variable")</f>
        <v/>
      </c>
      <c r="B75" s="1" t="str">
        <f>IF(ISBLANK(formules!A75),"",formules!E75)</f>
        <v/>
      </c>
      <c r="C75" s="1" t="str">
        <f>IF(ISBLANK(formules!A75),"",formules!F75)</f>
        <v/>
      </c>
      <c r="D75" s="1" t="str">
        <f>IF(ISBLANK(formules!A75),"",formules!G75)</f>
        <v/>
      </c>
      <c r="E75" s="1" t="str">
        <f>IF(ISBLANK(formules!A75),"",formules!H75)</f>
        <v/>
      </c>
      <c r="F75" s="1" t="str">
        <f>IF(ISBLANK(formules!A75),"",formules!I75)</f>
        <v/>
      </c>
      <c r="G75" s="1" t="str">
        <f>IF(ISBLANK(formules!A75),"","Color")</f>
        <v/>
      </c>
      <c r="H75" s="1" t="str">
        <f>IF(ISBLANK(formules!A75),"",formules!D75)</f>
        <v/>
      </c>
      <c r="I75" s="1" t="str">
        <f>IF(ISBLANK(formules!A75),"",1)</f>
        <v/>
      </c>
      <c r="J75" s="1" t="str">
        <f>IF(ISBLANK(formules!A75),"",1)</f>
        <v/>
      </c>
      <c r="K75" s="1" t="str">
        <f>IF(ISBLANK(formules!A75),"","Size")</f>
        <v/>
      </c>
      <c r="L75" s="1" t="str">
        <f>IF(ISBLANK(formules!A75),"",formules!J75)</f>
        <v/>
      </c>
      <c r="M75" s="1" t="str">
        <f>IF(ISBLANK(formules!A75),"",1)</f>
        <v/>
      </c>
      <c r="N75" s="1" t="str">
        <f>IF(ISBLANK(formules!A75),"",1)</f>
        <v/>
      </c>
      <c r="O75" s="1" t="str">
        <f>IF(ISBLANK(formules!A75),"","Style")</f>
        <v/>
      </c>
      <c r="P75" s="1" t="str">
        <f>IF(ISBLANK(formules!A75),"",formules!C75)</f>
        <v/>
      </c>
      <c r="Q75" s="1" t="str">
        <f>IF(ISBLANK(formules!A75),"",1)</f>
        <v/>
      </c>
      <c r="R75" s="1" t="str">
        <f>IF(ISBLANK(formules!A75),"",1)</f>
        <v/>
      </c>
    </row>
    <row r="76" spans="1:18" x14ac:dyDescent="0.2">
      <c r="A76" s="1" t="str">
        <f>IF(ISBLANK(formules!A76),"","variable")</f>
        <v/>
      </c>
      <c r="B76" s="1" t="str">
        <f>IF(ISBLANK(formules!A76),"",formules!E76)</f>
        <v/>
      </c>
      <c r="C76" s="1" t="str">
        <f>IF(ISBLANK(formules!A76),"",formules!F76)</f>
        <v/>
      </c>
      <c r="D76" s="1" t="str">
        <f>IF(ISBLANK(formules!A76),"",formules!G76)</f>
        <v/>
      </c>
      <c r="E76" s="1" t="str">
        <f>IF(ISBLANK(formules!A76),"",formules!H76)</f>
        <v/>
      </c>
      <c r="F76" s="1" t="str">
        <f>IF(ISBLANK(formules!A76),"",formules!I76)</f>
        <v/>
      </c>
      <c r="G76" s="1" t="str">
        <f>IF(ISBLANK(formules!A76),"","Color")</f>
        <v/>
      </c>
      <c r="H76" s="1" t="str">
        <f>IF(ISBLANK(formules!A76),"",formules!D76)</f>
        <v/>
      </c>
      <c r="I76" s="1" t="str">
        <f>IF(ISBLANK(formules!A76),"",1)</f>
        <v/>
      </c>
      <c r="J76" s="1" t="str">
        <f>IF(ISBLANK(formules!A76),"",1)</f>
        <v/>
      </c>
      <c r="K76" s="1" t="str">
        <f>IF(ISBLANK(formules!A76),"","Size")</f>
        <v/>
      </c>
      <c r="L76" s="1" t="str">
        <f>IF(ISBLANK(formules!A76),"",formules!J76)</f>
        <v/>
      </c>
      <c r="M76" s="1" t="str">
        <f>IF(ISBLANK(formules!A76),"",1)</f>
        <v/>
      </c>
      <c r="N76" s="1" t="str">
        <f>IF(ISBLANK(formules!A76),"",1)</f>
        <v/>
      </c>
      <c r="O76" s="1" t="str">
        <f>IF(ISBLANK(formules!A76),"","Style")</f>
        <v/>
      </c>
      <c r="P76" s="1" t="str">
        <f>IF(ISBLANK(formules!A76),"",formules!C76)</f>
        <v/>
      </c>
      <c r="Q76" s="1" t="str">
        <f>IF(ISBLANK(formules!A76),"",1)</f>
        <v/>
      </c>
      <c r="R76" s="1" t="str">
        <f>IF(ISBLANK(formules!A76),"",1)</f>
        <v/>
      </c>
    </row>
    <row r="77" spans="1:18" x14ac:dyDescent="0.2">
      <c r="A77" s="1" t="str">
        <f>IF(ISBLANK(formules!A77),"","variable")</f>
        <v/>
      </c>
      <c r="B77" s="1" t="str">
        <f>IF(ISBLANK(formules!A77),"",formules!E77)</f>
        <v/>
      </c>
      <c r="C77" s="1" t="str">
        <f>IF(ISBLANK(formules!A77),"",formules!F77)</f>
        <v/>
      </c>
      <c r="D77" s="1" t="str">
        <f>IF(ISBLANK(formules!A77),"",formules!G77)</f>
        <v/>
      </c>
      <c r="E77" s="1" t="str">
        <f>IF(ISBLANK(formules!A77),"",formules!H77)</f>
        <v/>
      </c>
      <c r="F77" s="1" t="str">
        <f>IF(ISBLANK(formules!A77),"",formules!I77)</f>
        <v/>
      </c>
      <c r="G77" s="1" t="str">
        <f>IF(ISBLANK(formules!A77),"","Color")</f>
        <v/>
      </c>
      <c r="H77" s="1" t="str">
        <f>IF(ISBLANK(formules!A77),"",formules!D77)</f>
        <v/>
      </c>
      <c r="I77" s="1" t="str">
        <f>IF(ISBLANK(formules!A77),"",1)</f>
        <v/>
      </c>
      <c r="J77" s="1" t="str">
        <f>IF(ISBLANK(formules!A77),"",1)</f>
        <v/>
      </c>
      <c r="K77" s="1" t="str">
        <f>IF(ISBLANK(formules!A77),"","Size")</f>
        <v/>
      </c>
      <c r="L77" s="1" t="str">
        <f>IF(ISBLANK(formules!A77),"",formules!J77)</f>
        <v/>
      </c>
      <c r="M77" s="1" t="str">
        <f>IF(ISBLANK(formules!A77),"",1)</f>
        <v/>
      </c>
      <c r="N77" s="1" t="str">
        <f>IF(ISBLANK(formules!A77),"",1)</f>
        <v/>
      </c>
      <c r="O77" s="1" t="str">
        <f>IF(ISBLANK(formules!A77),"","Style")</f>
        <v/>
      </c>
      <c r="P77" s="1" t="str">
        <f>IF(ISBLANK(formules!A77),"",formules!C77)</f>
        <v/>
      </c>
      <c r="Q77" s="1" t="str">
        <f>IF(ISBLANK(formules!A77),"",1)</f>
        <v/>
      </c>
      <c r="R77" s="1" t="str">
        <f>IF(ISBLANK(formules!A77),"",1)</f>
        <v/>
      </c>
    </row>
    <row r="78" spans="1:18" x14ac:dyDescent="0.2">
      <c r="A78" s="1" t="str">
        <f>IF(ISBLANK(formules!A78),"","variable")</f>
        <v/>
      </c>
      <c r="B78" s="1" t="str">
        <f>IF(ISBLANK(formules!A78),"",formules!E78)</f>
        <v/>
      </c>
      <c r="C78" s="1" t="str">
        <f>IF(ISBLANK(formules!A78),"",formules!F78)</f>
        <v/>
      </c>
      <c r="D78" s="1" t="str">
        <f>IF(ISBLANK(formules!A78),"",formules!G78)</f>
        <v/>
      </c>
      <c r="E78" s="1" t="str">
        <f>IF(ISBLANK(formules!A78),"",formules!H78)</f>
        <v/>
      </c>
      <c r="F78" s="1" t="str">
        <f>IF(ISBLANK(formules!A78),"",formules!I78)</f>
        <v/>
      </c>
      <c r="G78" s="1" t="str">
        <f>IF(ISBLANK(formules!A78),"","Color")</f>
        <v/>
      </c>
      <c r="H78" s="1" t="str">
        <f>IF(ISBLANK(formules!A78),"",formules!D78)</f>
        <v/>
      </c>
      <c r="I78" s="1" t="str">
        <f>IF(ISBLANK(formules!A78),"",1)</f>
        <v/>
      </c>
      <c r="J78" s="1" t="str">
        <f>IF(ISBLANK(formules!A78),"",1)</f>
        <v/>
      </c>
      <c r="K78" s="1" t="str">
        <f>IF(ISBLANK(formules!A78),"","Size")</f>
        <v/>
      </c>
      <c r="L78" s="1" t="str">
        <f>IF(ISBLANK(formules!A78),"",formules!J78)</f>
        <v/>
      </c>
      <c r="M78" s="1" t="str">
        <f>IF(ISBLANK(formules!A78),"",1)</f>
        <v/>
      </c>
      <c r="N78" s="1" t="str">
        <f>IF(ISBLANK(formules!A78),"",1)</f>
        <v/>
      </c>
      <c r="O78" s="1" t="str">
        <f>IF(ISBLANK(formules!A78),"","Style")</f>
        <v/>
      </c>
      <c r="P78" s="1" t="str">
        <f>IF(ISBLANK(formules!A78),"",formules!C78)</f>
        <v/>
      </c>
      <c r="Q78" s="1" t="str">
        <f>IF(ISBLANK(formules!A78),"",1)</f>
        <v/>
      </c>
      <c r="R78" s="1" t="str">
        <f>IF(ISBLANK(formules!A78),"",1)</f>
        <v/>
      </c>
    </row>
    <row r="79" spans="1:18" x14ac:dyDescent="0.2">
      <c r="A79" s="1" t="str">
        <f>IF(ISBLANK(formules!A79),"","variable")</f>
        <v/>
      </c>
      <c r="B79" s="1" t="str">
        <f>IF(ISBLANK(formules!A79),"",formules!E79)</f>
        <v/>
      </c>
      <c r="C79" s="1" t="str">
        <f>IF(ISBLANK(formules!A79),"",formules!F79)</f>
        <v/>
      </c>
      <c r="D79" s="1" t="str">
        <f>IF(ISBLANK(formules!A79),"",formules!G79)</f>
        <v/>
      </c>
      <c r="E79" s="1" t="str">
        <f>IF(ISBLANK(formules!A79),"",formules!H79)</f>
        <v/>
      </c>
      <c r="F79" s="1" t="str">
        <f>IF(ISBLANK(formules!A79),"",formules!I79)</f>
        <v/>
      </c>
      <c r="G79" s="1" t="str">
        <f>IF(ISBLANK(formules!A79),"","Color")</f>
        <v/>
      </c>
      <c r="H79" s="1" t="str">
        <f>IF(ISBLANK(formules!A79),"",formules!D79)</f>
        <v/>
      </c>
      <c r="I79" s="1" t="str">
        <f>IF(ISBLANK(formules!A79),"",1)</f>
        <v/>
      </c>
      <c r="J79" s="1" t="str">
        <f>IF(ISBLANK(formules!A79),"",1)</f>
        <v/>
      </c>
      <c r="K79" s="1" t="str">
        <f>IF(ISBLANK(formules!A79),"","Size")</f>
        <v/>
      </c>
      <c r="L79" s="1" t="str">
        <f>IF(ISBLANK(formules!A79),"",formules!J79)</f>
        <v/>
      </c>
      <c r="M79" s="1" t="str">
        <f>IF(ISBLANK(formules!A79),"",1)</f>
        <v/>
      </c>
      <c r="N79" s="1" t="str">
        <f>IF(ISBLANK(formules!A79),"",1)</f>
        <v/>
      </c>
      <c r="O79" s="1" t="str">
        <f>IF(ISBLANK(formules!A79),"","Style")</f>
        <v/>
      </c>
      <c r="P79" s="1" t="str">
        <f>IF(ISBLANK(formules!A79),"",formules!C79)</f>
        <v/>
      </c>
      <c r="Q79" s="1" t="str">
        <f>IF(ISBLANK(formules!A79),"",1)</f>
        <v/>
      </c>
      <c r="R79" s="1" t="str">
        <f>IF(ISBLANK(formules!A79),"",1)</f>
        <v/>
      </c>
    </row>
    <row r="80" spans="1:18" x14ac:dyDescent="0.2">
      <c r="A80" s="1" t="str">
        <f>IF(ISBLANK(formules!A80),"","variable")</f>
        <v/>
      </c>
      <c r="B80" s="1" t="str">
        <f>IF(ISBLANK(formules!A80),"",formules!E80)</f>
        <v/>
      </c>
      <c r="C80" s="1" t="str">
        <f>IF(ISBLANK(formules!A80),"",formules!F80)</f>
        <v/>
      </c>
      <c r="D80" s="1" t="str">
        <f>IF(ISBLANK(formules!A80),"",formules!G80)</f>
        <v/>
      </c>
      <c r="E80" s="1" t="str">
        <f>IF(ISBLANK(formules!A80),"",formules!H80)</f>
        <v/>
      </c>
      <c r="F80" s="1" t="str">
        <f>IF(ISBLANK(formules!A80),"",formules!I80)</f>
        <v/>
      </c>
      <c r="G80" s="1" t="str">
        <f>IF(ISBLANK(formules!A80),"","Color")</f>
        <v/>
      </c>
      <c r="H80" s="1" t="str">
        <f>IF(ISBLANK(formules!A80),"",formules!D80)</f>
        <v/>
      </c>
      <c r="I80" s="1" t="str">
        <f>IF(ISBLANK(formules!A80),"",1)</f>
        <v/>
      </c>
      <c r="J80" s="1" t="str">
        <f>IF(ISBLANK(formules!A80),"",1)</f>
        <v/>
      </c>
      <c r="K80" s="1" t="str">
        <f>IF(ISBLANK(formules!A80),"","Size")</f>
        <v/>
      </c>
      <c r="L80" s="1" t="str">
        <f>IF(ISBLANK(formules!A80),"",formules!J80)</f>
        <v/>
      </c>
      <c r="M80" s="1" t="str">
        <f>IF(ISBLANK(formules!A80),"",1)</f>
        <v/>
      </c>
      <c r="N80" s="1" t="str">
        <f>IF(ISBLANK(formules!A80),"",1)</f>
        <v/>
      </c>
      <c r="O80" s="1" t="str">
        <f>IF(ISBLANK(formules!A80),"","Style")</f>
        <v/>
      </c>
      <c r="P80" s="1" t="str">
        <f>IF(ISBLANK(formules!A80),"",formules!C80)</f>
        <v/>
      </c>
      <c r="Q80" s="1" t="str">
        <f>IF(ISBLANK(formules!A80),"",1)</f>
        <v/>
      </c>
      <c r="R80" s="1" t="str">
        <f>IF(ISBLANK(formules!A80),"",1)</f>
        <v/>
      </c>
    </row>
    <row r="81" spans="1:18" x14ac:dyDescent="0.2">
      <c r="A81" s="1" t="str">
        <f>IF(ISBLANK(formules!A81),"","variable")</f>
        <v/>
      </c>
      <c r="B81" s="1" t="str">
        <f>IF(ISBLANK(formules!A81),"",formules!E81)</f>
        <v/>
      </c>
      <c r="C81" s="1" t="str">
        <f>IF(ISBLANK(formules!A81),"",formules!F81)</f>
        <v/>
      </c>
      <c r="D81" s="1" t="str">
        <f>IF(ISBLANK(formules!A81),"",formules!G81)</f>
        <v/>
      </c>
      <c r="E81" s="1" t="str">
        <f>IF(ISBLANK(formules!A81),"",formules!H81)</f>
        <v/>
      </c>
      <c r="F81" s="1" t="str">
        <f>IF(ISBLANK(formules!A81),"",formules!I81)</f>
        <v/>
      </c>
      <c r="G81" s="1" t="str">
        <f>IF(ISBLANK(formules!A81),"","Color")</f>
        <v/>
      </c>
      <c r="H81" s="1" t="str">
        <f>IF(ISBLANK(formules!A81),"",formules!D81)</f>
        <v/>
      </c>
      <c r="I81" s="1" t="str">
        <f>IF(ISBLANK(formules!A81),"",1)</f>
        <v/>
      </c>
      <c r="J81" s="1" t="str">
        <f>IF(ISBLANK(formules!A81),"",1)</f>
        <v/>
      </c>
      <c r="K81" s="1" t="str">
        <f>IF(ISBLANK(formules!A81),"","Size")</f>
        <v/>
      </c>
      <c r="L81" s="1" t="str">
        <f>IF(ISBLANK(formules!A81),"",formules!J81)</f>
        <v/>
      </c>
      <c r="M81" s="1" t="str">
        <f>IF(ISBLANK(formules!A81),"",1)</f>
        <v/>
      </c>
      <c r="N81" s="1" t="str">
        <f>IF(ISBLANK(formules!A81),"",1)</f>
        <v/>
      </c>
      <c r="O81" s="1" t="str">
        <f>IF(ISBLANK(formules!A81),"","Style")</f>
        <v/>
      </c>
      <c r="P81" s="1" t="str">
        <f>IF(ISBLANK(formules!A81),"",formules!C81)</f>
        <v/>
      </c>
      <c r="Q81" s="1" t="str">
        <f>IF(ISBLANK(formules!A81),"",1)</f>
        <v/>
      </c>
      <c r="R81" s="1" t="str">
        <f>IF(ISBLANK(formules!A81),"",1)</f>
        <v/>
      </c>
    </row>
    <row r="82" spans="1:18" x14ac:dyDescent="0.2">
      <c r="A82" s="1" t="str">
        <f>IF(ISBLANK(formules!A82),"","variable")</f>
        <v/>
      </c>
      <c r="B82" s="1" t="str">
        <f>IF(ISBLANK(formules!A82),"",formules!E82)</f>
        <v/>
      </c>
      <c r="C82" s="1" t="str">
        <f>IF(ISBLANK(formules!A82),"",formules!F82)</f>
        <v/>
      </c>
      <c r="D82" s="1" t="str">
        <f>IF(ISBLANK(formules!A82),"",formules!G82)</f>
        <v/>
      </c>
      <c r="E82" s="1" t="str">
        <f>IF(ISBLANK(formules!A82),"",formules!H82)</f>
        <v/>
      </c>
      <c r="F82" s="1" t="str">
        <f>IF(ISBLANK(formules!A82),"",formules!I82)</f>
        <v/>
      </c>
      <c r="G82" s="1" t="str">
        <f>IF(ISBLANK(formules!A82),"","Color")</f>
        <v/>
      </c>
      <c r="H82" s="1" t="str">
        <f>IF(ISBLANK(formules!A82),"",formules!D82)</f>
        <v/>
      </c>
      <c r="I82" s="1" t="str">
        <f>IF(ISBLANK(formules!A82),"",1)</f>
        <v/>
      </c>
      <c r="J82" s="1" t="str">
        <f>IF(ISBLANK(formules!A82),"",1)</f>
        <v/>
      </c>
      <c r="K82" s="1" t="str">
        <f>IF(ISBLANK(formules!A82),"","Size")</f>
        <v/>
      </c>
      <c r="L82" s="1" t="str">
        <f>IF(ISBLANK(formules!A82),"",formules!J82)</f>
        <v/>
      </c>
      <c r="M82" s="1" t="str">
        <f>IF(ISBLANK(formules!A82),"",1)</f>
        <v/>
      </c>
      <c r="N82" s="1" t="str">
        <f>IF(ISBLANK(formules!A82),"",1)</f>
        <v/>
      </c>
      <c r="O82" s="1" t="str">
        <f>IF(ISBLANK(formules!A82),"","Style")</f>
        <v/>
      </c>
      <c r="P82" s="1" t="str">
        <f>IF(ISBLANK(formules!A82),"",formules!C82)</f>
        <v/>
      </c>
      <c r="Q82" s="1" t="str">
        <f>IF(ISBLANK(formules!A82),"",1)</f>
        <v/>
      </c>
      <c r="R82" s="1" t="str">
        <f>IF(ISBLANK(formules!A82),"",1)</f>
        <v/>
      </c>
    </row>
    <row r="83" spans="1:18" x14ac:dyDescent="0.2">
      <c r="A83" s="1" t="str">
        <f>IF(ISBLANK(formules!A83),"","variable")</f>
        <v/>
      </c>
      <c r="B83" s="1" t="str">
        <f>IF(ISBLANK(formules!A83),"",formules!E83)</f>
        <v/>
      </c>
      <c r="C83" s="1" t="str">
        <f>IF(ISBLANK(formules!A83),"",formules!F83)</f>
        <v/>
      </c>
      <c r="D83" s="1" t="str">
        <f>IF(ISBLANK(formules!A83),"",formules!G83)</f>
        <v/>
      </c>
      <c r="E83" s="1" t="str">
        <f>IF(ISBLANK(formules!A83),"",formules!H83)</f>
        <v/>
      </c>
      <c r="F83" s="1" t="str">
        <f>IF(ISBLANK(formules!A83),"",formules!I83)</f>
        <v/>
      </c>
      <c r="G83" s="1" t="str">
        <f>IF(ISBLANK(formules!A83),"","Color")</f>
        <v/>
      </c>
      <c r="H83" s="1" t="str">
        <f>IF(ISBLANK(formules!A83),"",formules!D83)</f>
        <v/>
      </c>
      <c r="I83" s="1" t="str">
        <f>IF(ISBLANK(formules!A83),"",1)</f>
        <v/>
      </c>
      <c r="J83" s="1" t="str">
        <f>IF(ISBLANK(formules!A83),"",1)</f>
        <v/>
      </c>
      <c r="K83" s="1" t="str">
        <f>IF(ISBLANK(formules!A83),"","Size")</f>
        <v/>
      </c>
      <c r="L83" s="1" t="str">
        <f>IF(ISBLANK(formules!A83),"",formules!J83)</f>
        <v/>
      </c>
      <c r="M83" s="1" t="str">
        <f>IF(ISBLANK(formules!A83),"",1)</f>
        <v/>
      </c>
      <c r="N83" s="1" t="str">
        <f>IF(ISBLANK(formules!A83),"",1)</f>
        <v/>
      </c>
      <c r="O83" s="1" t="str">
        <f>IF(ISBLANK(formules!A83),"","Style")</f>
        <v/>
      </c>
      <c r="P83" s="1" t="str">
        <f>IF(ISBLANK(formules!A83),"",formules!C83)</f>
        <v/>
      </c>
      <c r="Q83" s="1" t="str">
        <f>IF(ISBLANK(formules!A83),"",1)</f>
        <v/>
      </c>
      <c r="R83" s="1" t="str">
        <f>IF(ISBLANK(formules!A83),"",1)</f>
        <v/>
      </c>
    </row>
    <row r="84" spans="1:18" x14ac:dyDescent="0.2">
      <c r="A84" s="1" t="str">
        <f>IF(ISBLANK(formules!A84),"","variable")</f>
        <v/>
      </c>
      <c r="B84" s="1" t="str">
        <f>IF(ISBLANK(formules!A84),"",formules!E84)</f>
        <v/>
      </c>
      <c r="C84" s="1" t="str">
        <f>IF(ISBLANK(formules!A84),"",formules!F84)</f>
        <v/>
      </c>
      <c r="D84" s="1" t="str">
        <f>IF(ISBLANK(formules!A84),"",formules!G84)</f>
        <v/>
      </c>
      <c r="E84" s="1" t="str">
        <f>IF(ISBLANK(formules!A84),"",formules!H84)</f>
        <v/>
      </c>
      <c r="F84" s="1" t="str">
        <f>IF(ISBLANK(formules!A84),"",formules!I84)</f>
        <v/>
      </c>
      <c r="G84" s="1" t="str">
        <f>IF(ISBLANK(formules!A84),"","Color")</f>
        <v/>
      </c>
      <c r="H84" s="1" t="str">
        <f>IF(ISBLANK(formules!A84),"",formules!D84)</f>
        <v/>
      </c>
      <c r="I84" s="1" t="str">
        <f>IF(ISBLANK(formules!A84),"",1)</f>
        <v/>
      </c>
      <c r="J84" s="1" t="str">
        <f>IF(ISBLANK(formules!A84),"",1)</f>
        <v/>
      </c>
      <c r="K84" s="1" t="str">
        <f>IF(ISBLANK(formules!A84),"","Size")</f>
        <v/>
      </c>
      <c r="L84" s="1" t="str">
        <f>IF(ISBLANK(formules!A84),"",formules!J84)</f>
        <v/>
      </c>
      <c r="M84" s="1" t="str">
        <f>IF(ISBLANK(formules!A84),"",1)</f>
        <v/>
      </c>
      <c r="N84" s="1" t="str">
        <f>IF(ISBLANK(formules!A84),"",1)</f>
        <v/>
      </c>
      <c r="O84" s="1" t="str">
        <f>IF(ISBLANK(formules!A84),"","Style")</f>
        <v/>
      </c>
      <c r="P84" s="1" t="str">
        <f>IF(ISBLANK(formules!A84),"",formules!C84)</f>
        <v/>
      </c>
      <c r="Q84" s="1" t="str">
        <f>IF(ISBLANK(formules!A84),"",1)</f>
        <v/>
      </c>
      <c r="R84" s="1" t="str">
        <f>IF(ISBLANK(formules!A84),"",1)</f>
        <v/>
      </c>
    </row>
    <row r="85" spans="1:18" x14ac:dyDescent="0.2">
      <c r="A85" s="1" t="str">
        <f>IF(ISBLANK(formules!A85),"","variable")</f>
        <v/>
      </c>
      <c r="B85" s="1" t="str">
        <f>IF(ISBLANK(formules!A85),"",formules!E85)</f>
        <v/>
      </c>
      <c r="C85" s="1" t="str">
        <f>IF(ISBLANK(formules!A85),"",formules!F85)</f>
        <v/>
      </c>
      <c r="D85" s="1" t="str">
        <f>IF(ISBLANK(formules!A85),"",formules!G85)</f>
        <v/>
      </c>
      <c r="E85" s="1" t="str">
        <f>IF(ISBLANK(formules!A85),"",formules!H85)</f>
        <v/>
      </c>
      <c r="F85" s="1" t="str">
        <f>IF(ISBLANK(formules!A85),"",formules!I85)</f>
        <v/>
      </c>
      <c r="G85" s="1" t="str">
        <f>IF(ISBLANK(formules!A85),"","Color")</f>
        <v/>
      </c>
      <c r="H85" s="1" t="str">
        <f>IF(ISBLANK(formules!A85),"",formules!D85)</f>
        <v/>
      </c>
      <c r="I85" s="1" t="str">
        <f>IF(ISBLANK(formules!A85),"",1)</f>
        <v/>
      </c>
      <c r="J85" s="1" t="str">
        <f>IF(ISBLANK(formules!A85),"",1)</f>
        <v/>
      </c>
      <c r="K85" s="1" t="str">
        <f>IF(ISBLANK(formules!A85),"","Size")</f>
        <v/>
      </c>
      <c r="L85" s="1" t="str">
        <f>IF(ISBLANK(formules!A85),"",formules!J85)</f>
        <v/>
      </c>
      <c r="M85" s="1" t="str">
        <f>IF(ISBLANK(formules!A85),"",1)</f>
        <v/>
      </c>
      <c r="N85" s="1" t="str">
        <f>IF(ISBLANK(formules!A85),"",1)</f>
        <v/>
      </c>
      <c r="O85" s="1" t="str">
        <f>IF(ISBLANK(formules!A85),"","Style")</f>
        <v/>
      </c>
      <c r="P85" s="1" t="str">
        <f>IF(ISBLANK(formules!A85),"",formules!C85)</f>
        <v/>
      </c>
      <c r="Q85" s="1" t="str">
        <f>IF(ISBLANK(formules!A85),"",1)</f>
        <v/>
      </c>
      <c r="R85" s="1" t="str">
        <f>IF(ISBLANK(formules!A85),"",1)</f>
        <v/>
      </c>
    </row>
    <row r="86" spans="1:18" x14ac:dyDescent="0.2">
      <c r="A86" s="1" t="str">
        <f>IF(ISBLANK(formules!A86),"","variable")</f>
        <v/>
      </c>
      <c r="B86" s="1" t="str">
        <f>IF(ISBLANK(formules!A86),"",formules!E86)</f>
        <v/>
      </c>
      <c r="C86" s="1" t="str">
        <f>IF(ISBLANK(formules!A86),"",formules!F86)</f>
        <v/>
      </c>
      <c r="D86" s="1" t="str">
        <f>IF(ISBLANK(formules!A86),"",formules!G86)</f>
        <v/>
      </c>
      <c r="E86" s="1" t="str">
        <f>IF(ISBLANK(formules!A86),"",formules!H86)</f>
        <v/>
      </c>
      <c r="F86" s="1" t="str">
        <f>IF(ISBLANK(formules!A86),"",formules!I86)</f>
        <v/>
      </c>
      <c r="G86" s="1" t="str">
        <f>IF(ISBLANK(formules!A86),"","Color")</f>
        <v/>
      </c>
      <c r="H86" s="1" t="str">
        <f>IF(ISBLANK(formules!A86),"",formules!D86)</f>
        <v/>
      </c>
      <c r="I86" s="1" t="str">
        <f>IF(ISBLANK(formules!A86),"",1)</f>
        <v/>
      </c>
      <c r="J86" s="1" t="str">
        <f>IF(ISBLANK(formules!A86),"",1)</f>
        <v/>
      </c>
      <c r="K86" s="1" t="str">
        <f>IF(ISBLANK(formules!A86),"","Size")</f>
        <v/>
      </c>
      <c r="L86" s="1" t="str">
        <f>IF(ISBLANK(formules!A86),"",formules!J86)</f>
        <v/>
      </c>
      <c r="M86" s="1" t="str">
        <f>IF(ISBLANK(formules!A86),"",1)</f>
        <v/>
      </c>
      <c r="N86" s="1" t="str">
        <f>IF(ISBLANK(formules!A86),"",1)</f>
        <v/>
      </c>
      <c r="O86" s="1" t="str">
        <f>IF(ISBLANK(formules!A86),"","Style")</f>
        <v/>
      </c>
      <c r="P86" s="1" t="str">
        <f>IF(ISBLANK(formules!A86),"",formules!C86)</f>
        <v/>
      </c>
      <c r="Q86" s="1" t="str">
        <f>IF(ISBLANK(formules!A86),"",1)</f>
        <v/>
      </c>
      <c r="R86" s="1" t="str">
        <f>IF(ISBLANK(formules!A86),"",1)</f>
        <v/>
      </c>
    </row>
    <row r="87" spans="1:18" x14ac:dyDescent="0.2">
      <c r="A87" s="1" t="str">
        <f>IF(ISBLANK(formules!A87),"","variable")</f>
        <v/>
      </c>
      <c r="B87" s="1" t="str">
        <f>IF(ISBLANK(formules!A87),"",formules!E87)</f>
        <v/>
      </c>
      <c r="C87" s="1" t="str">
        <f>IF(ISBLANK(formules!A87),"",formules!F87)</f>
        <v/>
      </c>
      <c r="D87" s="1" t="str">
        <f>IF(ISBLANK(formules!A87),"",formules!G87)</f>
        <v/>
      </c>
      <c r="E87" s="1" t="str">
        <f>IF(ISBLANK(formules!A87),"",formules!H87)</f>
        <v/>
      </c>
      <c r="F87" s="1" t="str">
        <f>IF(ISBLANK(formules!A87),"",formules!I87)</f>
        <v/>
      </c>
      <c r="G87" s="1" t="str">
        <f>IF(ISBLANK(formules!A87),"","Color")</f>
        <v/>
      </c>
      <c r="H87" s="1" t="str">
        <f>IF(ISBLANK(formules!A87),"",formules!D87)</f>
        <v/>
      </c>
      <c r="I87" s="1" t="str">
        <f>IF(ISBLANK(formules!A87),"",1)</f>
        <v/>
      </c>
      <c r="J87" s="1" t="str">
        <f>IF(ISBLANK(formules!A87),"",1)</f>
        <v/>
      </c>
      <c r="K87" s="1" t="str">
        <f>IF(ISBLANK(formules!A87),"","Size")</f>
        <v/>
      </c>
      <c r="L87" s="1" t="str">
        <f>IF(ISBLANK(formules!A87),"",formules!J87)</f>
        <v/>
      </c>
      <c r="M87" s="1" t="str">
        <f>IF(ISBLANK(formules!A87),"",1)</f>
        <v/>
      </c>
      <c r="N87" s="1" t="str">
        <f>IF(ISBLANK(formules!A87),"",1)</f>
        <v/>
      </c>
      <c r="O87" s="1" t="str">
        <f>IF(ISBLANK(formules!A87),"","Style")</f>
        <v/>
      </c>
      <c r="P87" s="1" t="str">
        <f>IF(ISBLANK(formules!A87),"",formules!C87)</f>
        <v/>
      </c>
      <c r="Q87" s="1" t="str">
        <f>IF(ISBLANK(formules!A87),"",1)</f>
        <v/>
      </c>
      <c r="R87" s="1" t="str">
        <f>IF(ISBLANK(formules!A87),"",1)</f>
        <v/>
      </c>
    </row>
    <row r="88" spans="1:18" x14ac:dyDescent="0.2">
      <c r="A88" s="1" t="str">
        <f>IF(ISBLANK(formules!A88),"","variable")</f>
        <v/>
      </c>
      <c r="B88" s="1" t="str">
        <f>IF(ISBLANK(formules!A88),"",formules!E88)</f>
        <v/>
      </c>
      <c r="C88" s="1" t="str">
        <f>IF(ISBLANK(formules!A88),"",formules!F88)</f>
        <v/>
      </c>
      <c r="D88" s="1" t="str">
        <f>IF(ISBLANK(formules!A88),"",formules!G88)</f>
        <v/>
      </c>
      <c r="E88" s="1" t="str">
        <f>IF(ISBLANK(formules!A88),"",formules!H88)</f>
        <v/>
      </c>
      <c r="F88" s="1" t="str">
        <f>IF(ISBLANK(formules!A88),"",formules!I88)</f>
        <v/>
      </c>
      <c r="G88" s="1" t="str">
        <f>IF(ISBLANK(formules!A88),"","Color")</f>
        <v/>
      </c>
      <c r="H88" s="1" t="str">
        <f>IF(ISBLANK(formules!A88),"",formules!D88)</f>
        <v/>
      </c>
      <c r="I88" s="1" t="str">
        <f>IF(ISBLANK(formules!A88),"",1)</f>
        <v/>
      </c>
      <c r="J88" s="1" t="str">
        <f>IF(ISBLANK(formules!A88),"",1)</f>
        <v/>
      </c>
      <c r="K88" s="1" t="str">
        <f>IF(ISBLANK(formules!A88),"","Size")</f>
        <v/>
      </c>
      <c r="L88" s="1" t="str">
        <f>IF(ISBLANK(formules!A88),"",formules!J88)</f>
        <v/>
      </c>
      <c r="M88" s="1" t="str">
        <f>IF(ISBLANK(formules!A88),"",1)</f>
        <v/>
      </c>
      <c r="N88" s="1" t="str">
        <f>IF(ISBLANK(formules!A88),"",1)</f>
        <v/>
      </c>
      <c r="O88" s="1" t="str">
        <f>IF(ISBLANK(formules!A88),"","Style")</f>
        <v/>
      </c>
      <c r="P88" s="1" t="str">
        <f>IF(ISBLANK(formules!A88),"",formules!C88)</f>
        <v/>
      </c>
      <c r="Q88" s="1" t="str">
        <f>IF(ISBLANK(formules!A88),"",1)</f>
        <v/>
      </c>
      <c r="R88" s="1" t="str">
        <f>IF(ISBLANK(formules!A88),"",1)</f>
        <v/>
      </c>
    </row>
    <row r="89" spans="1:18" x14ac:dyDescent="0.2">
      <c r="A89" s="1" t="str">
        <f>IF(ISBLANK(formules!A89),"","variable")</f>
        <v/>
      </c>
      <c r="B89" s="1" t="str">
        <f>IF(ISBLANK(formules!A89),"",formules!E89)</f>
        <v/>
      </c>
      <c r="C89" s="1" t="str">
        <f>IF(ISBLANK(formules!A89),"",formules!F89)</f>
        <v/>
      </c>
      <c r="D89" s="1" t="str">
        <f>IF(ISBLANK(formules!A89),"",formules!G89)</f>
        <v/>
      </c>
      <c r="E89" s="1" t="str">
        <f>IF(ISBLANK(formules!A89),"",formules!H89)</f>
        <v/>
      </c>
      <c r="F89" s="1" t="str">
        <f>IF(ISBLANK(formules!A89),"",formules!I89)</f>
        <v/>
      </c>
      <c r="G89" s="1" t="str">
        <f>IF(ISBLANK(formules!A89),"","Color")</f>
        <v/>
      </c>
      <c r="H89" s="1" t="str">
        <f>IF(ISBLANK(formules!A89),"",formules!D89)</f>
        <v/>
      </c>
      <c r="I89" s="1" t="str">
        <f>IF(ISBLANK(formules!A89),"",1)</f>
        <v/>
      </c>
      <c r="J89" s="1" t="str">
        <f>IF(ISBLANK(formules!A89),"",1)</f>
        <v/>
      </c>
      <c r="K89" s="1" t="str">
        <f>IF(ISBLANK(formules!A89),"","Size")</f>
        <v/>
      </c>
      <c r="L89" s="1" t="str">
        <f>IF(ISBLANK(formules!A89),"",formules!J89)</f>
        <v/>
      </c>
      <c r="M89" s="1" t="str">
        <f>IF(ISBLANK(formules!A89),"",1)</f>
        <v/>
      </c>
      <c r="N89" s="1" t="str">
        <f>IF(ISBLANK(formules!A89),"",1)</f>
        <v/>
      </c>
      <c r="O89" s="1" t="str">
        <f>IF(ISBLANK(formules!A89),"","Style")</f>
        <v/>
      </c>
      <c r="P89" s="1" t="str">
        <f>IF(ISBLANK(formules!A89),"",formules!C89)</f>
        <v/>
      </c>
      <c r="Q89" s="1" t="str">
        <f>IF(ISBLANK(formules!A89),"",1)</f>
        <v/>
      </c>
      <c r="R89" s="1" t="str">
        <f>IF(ISBLANK(formules!A89),"",1)</f>
        <v/>
      </c>
    </row>
    <row r="90" spans="1:18" x14ac:dyDescent="0.2">
      <c r="A90" s="1" t="str">
        <f>IF(ISBLANK(formules!A90),"","variable")</f>
        <v/>
      </c>
      <c r="B90" s="1" t="str">
        <f>IF(ISBLANK(formules!A90),"",formules!E90)</f>
        <v/>
      </c>
      <c r="C90" s="1" t="str">
        <f>IF(ISBLANK(formules!A90),"",formules!F90)</f>
        <v/>
      </c>
      <c r="D90" s="1" t="str">
        <f>IF(ISBLANK(formules!A90),"",formules!G90)</f>
        <v/>
      </c>
      <c r="E90" s="1" t="str">
        <f>IF(ISBLANK(formules!A90),"",formules!H90)</f>
        <v/>
      </c>
      <c r="F90" s="1" t="str">
        <f>IF(ISBLANK(formules!A90),"",formules!I90)</f>
        <v/>
      </c>
      <c r="G90" s="1" t="str">
        <f>IF(ISBLANK(formules!A90),"","Color")</f>
        <v/>
      </c>
      <c r="H90" s="1" t="str">
        <f>IF(ISBLANK(formules!A90),"",formules!D90)</f>
        <v/>
      </c>
      <c r="I90" s="1" t="str">
        <f>IF(ISBLANK(formules!A90),"",1)</f>
        <v/>
      </c>
      <c r="J90" s="1" t="str">
        <f>IF(ISBLANK(formules!A90),"",1)</f>
        <v/>
      </c>
      <c r="K90" s="1" t="str">
        <f>IF(ISBLANK(formules!A90),"","Size")</f>
        <v/>
      </c>
      <c r="L90" s="1" t="str">
        <f>IF(ISBLANK(formules!A90),"",formules!J90)</f>
        <v/>
      </c>
      <c r="M90" s="1" t="str">
        <f>IF(ISBLANK(formules!A90),"",1)</f>
        <v/>
      </c>
      <c r="N90" s="1" t="str">
        <f>IF(ISBLANK(formules!A90),"",1)</f>
        <v/>
      </c>
      <c r="O90" s="1" t="str">
        <f>IF(ISBLANK(formules!A90),"","Style")</f>
        <v/>
      </c>
      <c r="P90" s="1" t="str">
        <f>IF(ISBLANK(formules!A90),"",formules!C90)</f>
        <v/>
      </c>
      <c r="Q90" s="1" t="str">
        <f>IF(ISBLANK(formules!A90),"",1)</f>
        <v/>
      </c>
      <c r="R90" s="1" t="str">
        <f>IF(ISBLANK(formules!A90),"",1)</f>
        <v/>
      </c>
    </row>
    <row r="91" spans="1:18" x14ac:dyDescent="0.2">
      <c r="A91" s="1" t="str">
        <f>IF(ISBLANK(formules!A91),"","variable")</f>
        <v/>
      </c>
      <c r="B91" s="1" t="str">
        <f>IF(ISBLANK(formules!A91),"",formules!E91)</f>
        <v/>
      </c>
      <c r="C91" s="1" t="str">
        <f>IF(ISBLANK(formules!A91),"",formules!F91)</f>
        <v/>
      </c>
      <c r="D91" s="1" t="str">
        <f>IF(ISBLANK(formules!A91),"",formules!G91)</f>
        <v/>
      </c>
      <c r="E91" s="1" t="str">
        <f>IF(ISBLANK(formules!A91),"",formules!H91)</f>
        <v/>
      </c>
      <c r="F91" s="1" t="str">
        <f>IF(ISBLANK(formules!A91),"",formules!I91)</f>
        <v/>
      </c>
      <c r="G91" s="1" t="str">
        <f>IF(ISBLANK(formules!A91),"","Color")</f>
        <v/>
      </c>
      <c r="H91" s="1" t="str">
        <f>IF(ISBLANK(formules!A91),"",formules!D91)</f>
        <v/>
      </c>
      <c r="I91" s="1" t="str">
        <f>IF(ISBLANK(formules!A91),"",1)</f>
        <v/>
      </c>
      <c r="J91" s="1" t="str">
        <f>IF(ISBLANK(formules!A91),"",1)</f>
        <v/>
      </c>
      <c r="K91" s="1" t="str">
        <f>IF(ISBLANK(formules!A91),"","Size")</f>
        <v/>
      </c>
      <c r="L91" s="1" t="str">
        <f>IF(ISBLANK(formules!A91),"",formules!J91)</f>
        <v/>
      </c>
      <c r="M91" s="1" t="str">
        <f>IF(ISBLANK(formules!A91),"",1)</f>
        <v/>
      </c>
      <c r="N91" s="1" t="str">
        <f>IF(ISBLANK(formules!A91),"",1)</f>
        <v/>
      </c>
      <c r="O91" s="1" t="str">
        <f>IF(ISBLANK(formules!A91),"","Style")</f>
        <v/>
      </c>
      <c r="P91" s="1" t="str">
        <f>IF(ISBLANK(formules!A91),"",formules!C91)</f>
        <v/>
      </c>
      <c r="Q91" s="1" t="str">
        <f>IF(ISBLANK(formules!A91),"",1)</f>
        <v/>
      </c>
      <c r="R91" s="1" t="str">
        <f>IF(ISBLANK(formules!A91),"",1)</f>
        <v/>
      </c>
    </row>
    <row r="92" spans="1:18" x14ac:dyDescent="0.2">
      <c r="A92" s="1" t="str">
        <f>IF(ISBLANK(formules!A92),"","variable")</f>
        <v/>
      </c>
      <c r="B92" s="1" t="str">
        <f>IF(ISBLANK(formules!A92),"",formules!E92)</f>
        <v/>
      </c>
      <c r="C92" s="1" t="str">
        <f>IF(ISBLANK(formules!A92),"",formules!F92)</f>
        <v/>
      </c>
      <c r="D92" s="1" t="str">
        <f>IF(ISBLANK(formules!A92),"",formules!G92)</f>
        <v/>
      </c>
      <c r="E92" s="1" t="str">
        <f>IF(ISBLANK(formules!A92),"",formules!H92)</f>
        <v/>
      </c>
      <c r="F92" s="1" t="str">
        <f>IF(ISBLANK(formules!A92),"",formules!I92)</f>
        <v/>
      </c>
      <c r="G92" s="1" t="str">
        <f>IF(ISBLANK(formules!A92),"","Color")</f>
        <v/>
      </c>
      <c r="H92" s="1" t="str">
        <f>IF(ISBLANK(formules!A92),"",formules!D92)</f>
        <v/>
      </c>
      <c r="I92" s="1" t="str">
        <f>IF(ISBLANK(formules!A92),"",1)</f>
        <v/>
      </c>
      <c r="J92" s="1" t="str">
        <f>IF(ISBLANK(formules!A92),"",1)</f>
        <v/>
      </c>
      <c r="K92" s="1" t="str">
        <f>IF(ISBLANK(formules!A92),"","Size")</f>
        <v/>
      </c>
      <c r="L92" s="1" t="str">
        <f>IF(ISBLANK(formules!A92),"",formules!J92)</f>
        <v/>
      </c>
      <c r="M92" s="1" t="str">
        <f>IF(ISBLANK(formules!A92),"",1)</f>
        <v/>
      </c>
      <c r="N92" s="1" t="str">
        <f>IF(ISBLANK(formules!A92),"",1)</f>
        <v/>
      </c>
      <c r="O92" s="1" t="str">
        <f>IF(ISBLANK(formules!A92),"","Style")</f>
        <v/>
      </c>
      <c r="P92" s="1" t="str">
        <f>IF(ISBLANK(formules!A92),"",formules!C92)</f>
        <v/>
      </c>
      <c r="Q92" s="1" t="str">
        <f>IF(ISBLANK(formules!A92),"",1)</f>
        <v/>
      </c>
      <c r="R92" s="1" t="str">
        <f>IF(ISBLANK(formules!A92),"",1)</f>
        <v/>
      </c>
    </row>
    <row r="93" spans="1:18" x14ac:dyDescent="0.2">
      <c r="A93" s="1" t="str">
        <f>IF(ISBLANK(formules!A93),"","variable")</f>
        <v/>
      </c>
      <c r="B93" s="1" t="str">
        <f>IF(ISBLANK(formules!A93),"",formules!E93)</f>
        <v/>
      </c>
      <c r="C93" s="1" t="str">
        <f>IF(ISBLANK(formules!A93),"",formules!F93)</f>
        <v/>
      </c>
      <c r="D93" s="1" t="str">
        <f>IF(ISBLANK(formules!A93),"",formules!G93)</f>
        <v/>
      </c>
      <c r="E93" s="1" t="str">
        <f>IF(ISBLANK(formules!A93),"",formules!H93)</f>
        <v/>
      </c>
      <c r="F93" s="1" t="str">
        <f>IF(ISBLANK(formules!A93),"",formules!I93)</f>
        <v/>
      </c>
      <c r="G93" s="1" t="str">
        <f>IF(ISBLANK(formules!A93),"","Color")</f>
        <v/>
      </c>
      <c r="H93" s="1" t="str">
        <f>IF(ISBLANK(formules!A93),"",formules!D93)</f>
        <v/>
      </c>
      <c r="I93" s="1" t="str">
        <f>IF(ISBLANK(formules!A93),"",1)</f>
        <v/>
      </c>
      <c r="J93" s="1" t="str">
        <f>IF(ISBLANK(formules!A93),"",1)</f>
        <v/>
      </c>
      <c r="K93" s="1" t="str">
        <f>IF(ISBLANK(formules!A93),"","Size")</f>
        <v/>
      </c>
      <c r="L93" s="1" t="str">
        <f>IF(ISBLANK(formules!A93),"",formules!J93)</f>
        <v/>
      </c>
      <c r="M93" s="1" t="str">
        <f>IF(ISBLANK(formules!A93),"",1)</f>
        <v/>
      </c>
      <c r="N93" s="1" t="str">
        <f>IF(ISBLANK(formules!A93),"",1)</f>
        <v/>
      </c>
      <c r="O93" s="1" t="str">
        <f>IF(ISBLANK(formules!A93),"","Style")</f>
        <v/>
      </c>
      <c r="P93" s="1" t="str">
        <f>IF(ISBLANK(formules!A93),"",formules!C93)</f>
        <v/>
      </c>
      <c r="Q93" s="1" t="str">
        <f>IF(ISBLANK(formules!A93),"",1)</f>
        <v/>
      </c>
      <c r="R93" s="1" t="str">
        <f>IF(ISBLANK(formules!A93),"",1)</f>
        <v/>
      </c>
    </row>
    <row r="94" spans="1:18" x14ac:dyDescent="0.2">
      <c r="A94" s="1" t="str">
        <f>IF(ISBLANK(formules!A94),"","variable")</f>
        <v/>
      </c>
      <c r="B94" s="1" t="str">
        <f>IF(ISBLANK(formules!A94),"",formules!E94)</f>
        <v/>
      </c>
      <c r="C94" s="1" t="str">
        <f>IF(ISBLANK(formules!A94),"",formules!F94)</f>
        <v/>
      </c>
      <c r="D94" s="1" t="str">
        <f>IF(ISBLANK(formules!A94),"",formules!G94)</f>
        <v/>
      </c>
      <c r="E94" s="1" t="str">
        <f>IF(ISBLANK(formules!A94),"",formules!H94)</f>
        <v/>
      </c>
      <c r="F94" s="1" t="str">
        <f>IF(ISBLANK(formules!A94),"",formules!I94)</f>
        <v/>
      </c>
      <c r="G94" s="1" t="str">
        <f>IF(ISBLANK(formules!A94),"","Color")</f>
        <v/>
      </c>
      <c r="H94" s="1" t="str">
        <f>IF(ISBLANK(formules!A94),"",formules!D94)</f>
        <v/>
      </c>
      <c r="I94" s="1" t="str">
        <f>IF(ISBLANK(formules!A94),"",1)</f>
        <v/>
      </c>
      <c r="J94" s="1" t="str">
        <f>IF(ISBLANK(formules!A94),"",1)</f>
        <v/>
      </c>
      <c r="K94" s="1" t="str">
        <f>IF(ISBLANK(formules!A94),"","Size")</f>
        <v/>
      </c>
      <c r="L94" s="1" t="str">
        <f>IF(ISBLANK(formules!A94),"",formules!J94)</f>
        <v/>
      </c>
      <c r="M94" s="1" t="str">
        <f>IF(ISBLANK(formules!A94),"",1)</f>
        <v/>
      </c>
      <c r="N94" s="1" t="str">
        <f>IF(ISBLANK(formules!A94),"",1)</f>
        <v/>
      </c>
      <c r="O94" s="1" t="str">
        <f>IF(ISBLANK(formules!A94),"","Style")</f>
        <v/>
      </c>
      <c r="P94" s="1" t="str">
        <f>IF(ISBLANK(formules!A94),"",formules!C94)</f>
        <v/>
      </c>
      <c r="Q94" s="1" t="str">
        <f>IF(ISBLANK(formules!A94),"",1)</f>
        <v/>
      </c>
      <c r="R94" s="1" t="str">
        <f>IF(ISBLANK(formules!A94),"",1)</f>
        <v/>
      </c>
    </row>
    <row r="95" spans="1:18" x14ac:dyDescent="0.2">
      <c r="A95" s="1" t="str">
        <f>IF(ISBLANK(formules!A95),"","variable")</f>
        <v/>
      </c>
      <c r="B95" s="1" t="str">
        <f>IF(ISBLANK(formules!A95),"",formules!E95)</f>
        <v/>
      </c>
      <c r="C95" s="1" t="str">
        <f>IF(ISBLANK(formules!A95),"",formules!F95)</f>
        <v/>
      </c>
      <c r="D95" s="1" t="str">
        <f>IF(ISBLANK(formules!A95),"",formules!G95)</f>
        <v/>
      </c>
      <c r="E95" s="1" t="str">
        <f>IF(ISBLANK(formules!A95),"",formules!H95)</f>
        <v/>
      </c>
      <c r="F95" s="1" t="str">
        <f>IF(ISBLANK(formules!A95),"",formules!I95)</f>
        <v/>
      </c>
      <c r="G95" s="1" t="str">
        <f>IF(ISBLANK(formules!A95),"","Color")</f>
        <v/>
      </c>
      <c r="H95" s="1" t="str">
        <f>IF(ISBLANK(formules!A95),"",formules!D95)</f>
        <v/>
      </c>
      <c r="I95" s="1" t="str">
        <f>IF(ISBLANK(formules!A95),"",1)</f>
        <v/>
      </c>
      <c r="J95" s="1" t="str">
        <f>IF(ISBLANK(formules!A95),"",1)</f>
        <v/>
      </c>
      <c r="K95" s="1" t="str">
        <f>IF(ISBLANK(formules!A95),"","Size")</f>
        <v/>
      </c>
      <c r="L95" s="1" t="str">
        <f>IF(ISBLANK(formules!A95),"",formules!J95)</f>
        <v/>
      </c>
      <c r="M95" s="1" t="str">
        <f>IF(ISBLANK(formules!A95),"",1)</f>
        <v/>
      </c>
      <c r="N95" s="1" t="str">
        <f>IF(ISBLANK(formules!A95),"",1)</f>
        <v/>
      </c>
      <c r="O95" s="1" t="str">
        <f>IF(ISBLANK(formules!A95),"","Style")</f>
        <v/>
      </c>
      <c r="P95" s="1" t="str">
        <f>IF(ISBLANK(formules!A95),"",formules!C95)</f>
        <v/>
      </c>
      <c r="Q95" s="1" t="str">
        <f>IF(ISBLANK(formules!A95),"",1)</f>
        <v/>
      </c>
      <c r="R95" s="1" t="str">
        <f>IF(ISBLANK(formules!A95),"",1)</f>
        <v/>
      </c>
    </row>
    <row r="96" spans="1:18" x14ac:dyDescent="0.2">
      <c r="A96" s="1" t="str">
        <f>IF(ISBLANK(formules!A96),"","variable")</f>
        <v/>
      </c>
      <c r="B96" s="1" t="str">
        <f>IF(ISBLANK(formules!A96),"",formules!E96)</f>
        <v/>
      </c>
      <c r="C96" s="1" t="str">
        <f>IF(ISBLANK(formules!A96),"",formules!F96)</f>
        <v/>
      </c>
      <c r="D96" s="1" t="str">
        <f>IF(ISBLANK(formules!A96),"",formules!G96)</f>
        <v/>
      </c>
      <c r="E96" s="1" t="str">
        <f>IF(ISBLANK(formules!A96),"",formules!H96)</f>
        <v/>
      </c>
      <c r="F96" s="1" t="str">
        <f>IF(ISBLANK(formules!A96),"",formules!I96)</f>
        <v/>
      </c>
      <c r="G96" s="1" t="str">
        <f>IF(ISBLANK(formules!A96),"","Color")</f>
        <v/>
      </c>
      <c r="H96" s="1" t="str">
        <f>IF(ISBLANK(formules!A96),"",formules!D96)</f>
        <v/>
      </c>
      <c r="I96" s="1" t="str">
        <f>IF(ISBLANK(formules!A96),"",1)</f>
        <v/>
      </c>
      <c r="J96" s="1" t="str">
        <f>IF(ISBLANK(formules!A96),"",1)</f>
        <v/>
      </c>
      <c r="K96" s="1" t="str">
        <f>IF(ISBLANK(formules!A96),"","Size")</f>
        <v/>
      </c>
      <c r="L96" s="1" t="str">
        <f>IF(ISBLANK(formules!A96),"",formules!J96)</f>
        <v/>
      </c>
      <c r="M96" s="1" t="str">
        <f>IF(ISBLANK(formules!A96),"",1)</f>
        <v/>
      </c>
      <c r="N96" s="1" t="str">
        <f>IF(ISBLANK(formules!A96),"",1)</f>
        <v/>
      </c>
      <c r="O96" s="1" t="str">
        <f>IF(ISBLANK(formules!A96),"","Style")</f>
        <v/>
      </c>
      <c r="P96" s="1" t="str">
        <f>IF(ISBLANK(formules!A96),"",formules!C96)</f>
        <v/>
      </c>
      <c r="Q96" s="1" t="str">
        <f>IF(ISBLANK(formules!A96),"",1)</f>
        <v/>
      </c>
      <c r="R96" s="1" t="str">
        <f>IF(ISBLANK(formules!A96),"",1)</f>
        <v/>
      </c>
    </row>
    <row r="97" spans="1:18" x14ac:dyDescent="0.2">
      <c r="A97" s="1" t="str">
        <f>IF(ISBLANK(formules!A97),"","variable")</f>
        <v/>
      </c>
      <c r="B97" s="1" t="str">
        <f>IF(ISBLANK(formules!A97),"",formules!E97)</f>
        <v/>
      </c>
      <c r="C97" s="1" t="str">
        <f>IF(ISBLANK(formules!A97),"",formules!F97)</f>
        <v/>
      </c>
      <c r="D97" s="1" t="str">
        <f>IF(ISBLANK(formules!A97),"",formules!G97)</f>
        <v/>
      </c>
      <c r="E97" s="1" t="str">
        <f>IF(ISBLANK(formules!A97),"",formules!H97)</f>
        <v/>
      </c>
      <c r="F97" s="1" t="str">
        <f>IF(ISBLANK(formules!A97),"",formules!I97)</f>
        <v/>
      </c>
      <c r="G97" s="1" t="str">
        <f>IF(ISBLANK(formules!A97),"","Color")</f>
        <v/>
      </c>
      <c r="H97" s="1" t="str">
        <f>IF(ISBLANK(formules!A97),"",formules!D97)</f>
        <v/>
      </c>
      <c r="I97" s="1" t="str">
        <f>IF(ISBLANK(formules!A97),"",1)</f>
        <v/>
      </c>
      <c r="J97" s="1" t="str">
        <f>IF(ISBLANK(formules!A97),"",1)</f>
        <v/>
      </c>
      <c r="K97" s="1" t="str">
        <f>IF(ISBLANK(formules!A97),"","Size")</f>
        <v/>
      </c>
      <c r="L97" s="1" t="str">
        <f>IF(ISBLANK(formules!A97),"",formules!J97)</f>
        <v/>
      </c>
      <c r="M97" s="1" t="str">
        <f>IF(ISBLANK(formules!A97),"",1)</f>
        <v/>
      </c>
      <c r="N97" s="1" t="str">
        <f>IF(ISBLANK(formules!A97),"",1)</f>
        <v/>
      </c>
      <c r="O97" s="1" t="str">
        <f>IF(ISBLANK(formules!A97),"","Style")</f>
        <v/>
      </c>
      <c r="P97" s="1" t="str">
        <f>IF(ISBLANK(formules!A97),"",formules!C97)</f>
        <v/>
      </c>
      <c r="Q97" s="1" t="str">
        <f>IF(ISBLANK(formules!A97),"",1)</f>
        <v/>
      </c>
      <c r="R97" s="1" t="str">
        <f>IF(ISBLANK(formules!A97),"",1)</f>
        <v/>
      </c>
    </row>
    <row r="98" spans="1:18" x14ac:dyDescent="0.2">
      <c r="A98" s="1" t="str">
        <f>IF(ISBLANK(formules!A98),"","variable")</f>
        <v/>
      </c>
      <c r="B98" s="1" t="str">
        <f>IF(ISBLANK(formules!A98),"",formules!E98)</f>
        <v/>
      </c>
      <c r="C98" s="1" t="str">
        <f>IF(ISBLANK(formules!A98),"",formules!F98)</f>
        <v/>
      </c>
      <c r="D98" s="1" t="str">
        <f>IF(ISBLANK(formules!A98),"",formules!G98)</f>
        <v/>
      </c>
      <c r="E98" s="1" t="str">
        <f>IF(ISBLANK(formules!A98),"",formules!H98)</f>
        <v/>
      </c>
      <c r="F98" s="1" t="str">
        <f>IF(ISBLANK(formules!A98),"",formules!I98)</f>
        <v/>
      </c>
      <c r="G98" s="1" t="str">
        <f>IF(ISBLANK(formules!A98),"","Color")</f>
        <v/>
      </c>
      <c r="H98" s="1" t="str">
        <f>IF(ISBLANK(formules!A98),"",formules!D98)</f>
        <v/>
      </c>
      <c r="I98" s="1" t="str">
        <f>IF(ISBLANK(formules!A98),"",1)</f>
        <v/>
      </c>
      <c r="J98" s="1" t="str">
        <f>IF(ISBLANK(formules!A98),"",1)</f>
        <v/>
      </c>
      <c r="K98" s="1" t="str">
        <f>IF(ISBLANK(formules!A98),"","Size")</f>
        <v/>
      </c>
      <c r="L98" s="1" t="str">
        <f>IF(ISBLANK(formules!A98),"",formules!J98)</f>
        <v/>
      </c>
      <c r="M98" s="1" t="str">
        <f>IF(ISBLANK(formules!A98),"",1)</f>
        <v/>
      </c>
      <c r="N98" s="1" t="str">
        <f>IF(ISBLANK(formules!A98),"",1)</f>
        <v/>
      </c>
      <c r="O98" s="1" t="str">
        <f>IF(ISBLANK(formules!A98),"","Style")</f>
        <v/>
      </c>
      <c r="P98" s="1" t="str">
        <f>IF(ISBLANK(formules!A98),"",formules!C98)</f>
        <v/>
      </c>
      <c r="Q98" s="1" t="str">
        <f>IF(ISBLANK(formules!A98),"",1)</f>
        <v/>
      </c>
      <c r="R98" s="1" t="str">
        <f>IF(ISBLANK(formules!A98),"",1)</f>
        <v/>
      </c>
    </row>
    <row r="99" spans="1:18" x14ac:dyDescent="0.2">
      <c r="A99" s="1" t="str">
        <f>IF(ISBLANK(formules!A99),"","variable")</f>
        <v/>
      </c>
      <c r="B99" s="1" t="str">
        <f>IF(ISBLANK(formules!A99),"",formules!E99)</f>
        <v/>
      </c>
      <c r="C99" s="1" t="str">
        <f>IF(ISBLANK(formules!A99),"",formules!F99)</f>
        <v/>
      </c>
      <c r="D99" s="1" t="str">
        <f>IF(ISBLANK(formules!A99),"",formules!G99)</f>
        <v/>
      </c>
      <c r="E99" s="1" t="str">
        <f>IF(ISBLANK(formules!A99),"",formules!H99)</f>
        <v/>
      </c>
      <c r="F99" s="1" t="str">
        <f>IF(ISBLANK(formules!A99),"",formules!I99)</f>
        <v/>
      </c>
      <c r="G99" s="1" t="str">
        <f>IF(ISBLANK(formules!A99),"","Color")</f>
        <v/>
      </c>
      <c r="H99" s="1" t="str">
        <f>IF(ISBLANK(formules!A99),"",formules!D99)</f>
        <v/>
      </c>
      <c r="I99" s="1" t="str">
        <f>IF(ISBLANK(formules!A99),"",1)</f>
        <v/>
      </c>
      <c r="J99" s="1" t="str">
        <f>IF(ISBLANK(formules!A99),"",1)</f>
        <v/>
      </c>
      <c r="K99" s="1" t="str">
        <f>IF(ISBLANK(formules!A99),"","Size")</f>
        <v/>
      </c>
      <c r="L99" s="1" t="str">
        <f>IF(ISBLANK(formules!A99),"",formules!J99)</f>
        <v/>
      </c>
      <c r="M99" s="1" t="str">
        <f>IF(ISBLANK(formules!A99),"",1)</f>
        <v/>
      </c>
      <c r="N99" s="1" t="str">
        <f>IF(ISBLANK(formules!A99),"",1)</f>
        <v/>
      </c>
      <c r="O99" s="1" t="str">
        <f>IF(ISBLANK(formules!A99),"","Style")</f>
        <v/>
      </c>
      <c r="P99" s="1" t="str">
        <f>IF(ISBLANK(formules!A99),"",formules!C99)</f>
        <v/>
      </c>
      <c r="Q99" s="1" t="str">
        <f>IF(ISBLANK(formules!A99),"",1)</f>
        <v/>
      </c>
      <c r="R99" s="1" t="str">
        <f>IF(ISBLANK(formules!A99),"",1)</f>
        <v/>
      </c>
    </row>
    <row r="100" spans="1:18" x14ac:dyDescent="0.2">
      <c r="A100" s="1" t="str">
        <f>IF(ISBLANK(formules!A100),"","variable")</f>
        <v/>
      </c>
      <c r="B100" s="1" t="str">
        <f>IF(ISBLANK(formules!A100),"",formules!E100)</f>
        <v/>
      </c>
      <c r="C100" s="1" t="str">
        <f>IF(ISBLANK(formules!A100),"",formules!F100)</f>
        <v/>
      </c>
      <c r="D100" s="1" t="str">
        <f>IF(ISBLANK(formules!A100),"",formules!G100)</f>
        <v/>
      </c>
      <c r="E100" s="1" t="str">
        <f>IF(ISBLANK(formules!A100),"",formules!H100)</f>
        <v/>
      </c>
      <c r="F100" s="1" t="str">
        <f>IF(ISBLANK(formules!A100),"",formules!I100)</f>
        <v/>
      </c>
      <c r="G100" s="1" t="str">
        <f>IF(ISBLANK(formules!A100),"","Color")</f>
        <v/>
      </c>
      <c r="H100" s="1" t="str">
        <f>IF(ISBLANK(formules!A100),"",formules!D100)</f>
        <v/>
      </c>
      <c r="I100" s="1" t="str">
        <f>IF(ISBLANK(formules!A100),"",1)</f>
        <v/>
      </c>
      <c r="J100" s="1" t="str">
        <f>IF(ISBLANK(formules!A100),"",1)</f>
        <v/>
      </c>
      <c r="K100" s="1" t="str">
        <f>IF(ISBLANK(formules!A100),"","Size")</f>
        <v/>
      </c>
      <c r="L100" s="1" t="str">
        <f>IF(ISBLANK(formules!A100),"",formules!J100)</f>
        <v/>
      </c>
      <c r="M100" s="1" t="str">
        <f>IF(ISBLANK(formules!A100),"",1)</f>
        <v/>
      </c>
      <c r="N100" s="1" t="str">
        <f>IF(ISBLANK(formules!A100),"",1)</f>
        <v/>
      </c>
      <c r="O100" s="1" t="str">
        <f>IF(ISBLANK(formules!A100),"","Style")</f>
        <v/>
      </c>
      <c r="P100" s="1" t="str">
        <f>IF(ISBLANK(formules!A100),"",formules!C100)</f>
        <v/>
      </c>
      <c r="Q100" s="1" t="str">
        <f>IF(ISBLANK(formules!A100),"",1)</f>
        <v/>
      </c>
      <c r="R100" s="1" t="str">
        <f>IF(ISBLANK(formules!A100),"",1)</f>
        <v/>
      </c>
    </row>
    <row r="101" spans="1:18" x14ac:dyDescent="0.2">
      <c r="A101" s="1" t="str">
        <f>IF(ISBLANK(formules!A101),"","variable")</f>
        <v/>
      </c>
      <c r="B101" s="1" t="str">
        <f>IF(ISBLANK(formules!A101),"",formules!E101)</f>
        <v/>
      </c>
      <c r="C101" s="1" t="str">
        <f>IF(ISBLANK(formules!A101),"",formules!F101)</f>
        <v/>
      </c>
      <c r="D101" s="1" t="str">
        <f>IF(ISBLANK(formules!A101),"",formules!G101)</f>
        <v/>
      </c>
      <c r="E101" s="1" t="str">
        <f>IF(ISBLANK(formules!A101),"",formules!H101)</f>
        <v/>
      </c>
      <c r="F101" s="1" t="str">
        <f>IF(ISBLANK(formules!A101),"",formules!I101)</f>
        <v/>
      </c>
      <c r="G101" s="1" t="str">
        <f>IF(ISBLANK(formules!A101),"","Color")</f>
        <v/>
      </c>
      <c r="H101" s="1" t="str">
        <f>IF(ISBLANK(formules!A101),"",formules!D101)</f>
        <v/>
      </c>
      <c r="I101" s="1" t="str">
        <f>IF(ISBLANK(formules!A101),"",1)</f>
        <v/>
      </c>
      <c r="J101" s="1" t="str">
        <f>IF(ISBLANK(formules!A101),"",1)</f>
        <v/>
      </c>
      <c r="K101" s="1" t="str">
        <f>IF(ISBLANK(formules!A101),"","Size")</f>
        <v/>
      </c>
      <c r="L101" s="1" t="str">
        <f>IF(ISBLANK(formules!A101),"",formules!J101)</f>
        <v/>
      </c>
      <c r="M101" s="1" t="str">
        <f>IF(ISBLANK(formules!A101),"",1)</f>
        <v/>
      </c>
      <c r="N101" s="1" t="str">
        <f>IF(ISBLANK(formules!A101),"",1)</f>
        <v/>
      </c>
      <c r="O101" s="1" t="str">
        <f>IF(ISBLANK(formules!A101),"","Style")</f>
        <v/>
      </c>
      <c r="P101" s="1" t="str">
        <f>IF(ISBLANK(formules!A101),"",formules!C101)</f>
        <v/>
      </c>
      <c r="Q101" s="1" t="str">
        <f>IF(ISBLANK(formules!A101),"",1)</f>
        <v/>
      </c>
      <c r="R101" s="1" t="str">
        <f>IF(ISBLANK(formules!A101),"",1)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1E686-59B8-FF4C-9BBD-67A8C4C7DCB5}">
  <sheetPr codeName="Sayfa4"/>
  <dimension ref="A1:J1001"/>
  <sheetViews>
    <sheetView workbookViewId="0"/>
  </sheetViews>
  <sheetFormatPr baseColWidth="10" defaultRowHeight="16" x14ac:dyDescent="0.2"/>
  <cols>
    <col min="1" max="1" width="8.33203125" bestFit="1" customWidth="1"/>
    <col min="2" max="2" width="11.83203125" bestFit="1" customWidth="1"/>
    <col min="3" max="3" width="14.1640625" style="16" bestFit="1" customWidth="1"/>
    <col min="4" max="4" width="38.83203125" bestFit="1" customWidth="1"/>
    <col min="5" max="5" width="5.83203125" bestFit="1" customWidth="1"/>
    <col min="6" max="6" width="9.1640625" bestFit="1" customWidth="1"/>
    <col min="7" max="7" width="12" bestFit="1" customWidth="1"/>
    <col min="8" max="8" width="14.83203125" bestFit="1" customWidth="1"/>
    <col min="9" max="9" width="17" bestFit="1" customWidth="1"/>
    <col min="10" max="10" width="15.1640625" bestFit="1" customWidth="1"/>
  </cols>
  <sheetData>
    <row r="1" spans="1:10" s="3" customFormat="1" x14ac:dyDescent="0.2">
      <c r="A1" s="2" t="s">
        <v>155</v>
      </c>
      <c r="B1" s="2" t="s">
        <v>168</v>
      </c>
      <c r="C1" s="2" t="s">
        <v>0</v>
      </c>
      <c r="D1" s="2" t="s">
        <v>2</v>
      </c>
      <c r="E1" s="2" t="s">
        <v>169</v>
      </c>
      <c r="F1" s="2" t="s">
        <v>8</v>
      </c>
      <c r="G1" s="2" t="s">
        <v>9</v>
      </c>
      <c r="H1" s="2" t="s">
        <v>156</v>
      </c>
      <c r="I1" s="2" t="s">
        <v>157</v>
      </c>
      <c r="J1" s="2" t="s">
        <v>159</v>
      </c>
    </row>
    <row r="2" spans="1:10" x14ac:dyDescent="0.2">
      <c r="A2" s="1" t="str">
        <f>IF(ISBLANK(B2),"","variation")</f>
        <v>variation</v>
      </c>
      <c r="B2" s="1" t="s">
        <v>176</v>
      </c>
      <c r="C2" s="15">
        <f ca="1">IF(ISBLANK(B2),"",RANDBETWEEN(1111111111111,9999999999999))</f>
        <v>1631809718101</v>
      </c>
      <c r="D2" s="1" t="str">
        <f>IF(ISBLANK(B2),"",VLOOKUP(B2,formules!E:F,2,0))</f>
        <v>Rustic gathered top ecru</v>
      </c>
      <c r="E2" s="1">
        <f>IF(ISBLANK(B2),"",1)</f>
        <v>1</v>
      </c>
      <c r="F2" s="17">
        <f>IF(ISBLANK(B2),"",VLOOKUP(B2,formules!E:K,7,0))</f>
        <v>27.9</v>
      </c>
      <c r="G2" s="17">
        <f>IF(ISBLANK(B2),"",VLOOKUP(B2,formules!E:L,8,0))</f>
        <v>35.9</v>
      </c>
      <c r="H2" s="1" t="str">
        <f>IF(ISBLANK(B2),"","Size")</f>
        <v>Size</v>
      </c>
      <c r="I2" s="1" t="s">
        <v>170</v>
      </c>
      <c r="J2" s="1">
        <f>IF(ISBLANK(B2),"",1)</f>
        <v>1</v>
      </c>
    </row>
    <row r="3" spans="1:10" x14ac:dyDescent="0.2">
      <c r="A3" s="1" t="str">
        <f t="shared" ref="A3:A66" si="0">IF(ISBLANK(B3),"","variation")</f>
        <v>variation</v>
      </c>
      <c r="B3" s="1" t="s">
        <v>176</v>
      </c>
      <c r="C3" s="15">
        <f t="shared" ref="C3:C66" ca="1" si="1">IF(ISBLANK(B3),"",RANDBETWEEN(1111111111111,9999999999999))</f>
        <v>4323377125296</v>
      </c>
      <c r="D3" s="1" t="str">
        <f>IF(ISBLANK(B3),"",VLOOKUP(B3,formules!E:F,2,0))</f>
        <v>Rustic gathered top ecru</v>
      </c>
      <c r="E3" s="1">
        <f t="shared" ref="E3:E66" si="2">IF(ISBLANK(B3),"",1)</f>
        <v>1</v>
      </c>
      <c r="F3" s="17">
        <f>IF(ISBLANK(B3),"",VLOOKUP(B3,formules!E:K,7,0))</f>
        <v>27.9</v>
      </c>
      <c r="G3" s="17">
        <f>IF(ISBLANK(B3),"",VLOOKUP(B3,formules!E:L,8,0))</f>
        <v>35.9</v>
      </c>
      <c r="H3" s="1" t="str">
        <f t="shared" ref="H3:H66" si="3">IF(ISBLANK(B3),"","Size")</f>
        <v>Size</v>
      </c>
      <c r="I3" s="1" t="s">
        <v>10</v>
      </c>
      <c r="J3" s="1">
        <f t="shared" ref="J3:J66" si="4">IF(ISBLANK(B3),"",1)</f>
        <v>1</v>
      </c>
    </row>
    <row r="4" spans="1:10" x14ac:dyDescent="0.2">
      <c r="A4" s="1" t="str">
        <f t="shared" si="0"/>
        <v>variation</v>
      </c>
      <c r="B4" s="1" t="s">
        <v>176</v>
      </c>
      <c r="C4" s="15">
        <f t="shared" ca="1" si="1"/>
        <v>4112048704815</v>
      </c>
      <c r="D4" s="1" t="str">
        <f>IF(ISBLANK(B4),"",VLOOKUP(B4,formules!E:F,2,0))</f>
        <v>Rustic gathered top ecru</v>
      </c>
      <c r="E4" s="1">
        <f t="shared" si="2"/>
        <v>1</v>
      </c>
      <c r="F4" s="17">
        <f>IF(ISBLANK(B4),"",VLOOKUP(B4,formules!E:K,7,0))</f>
        <v>27.9</v>
      </c>
      <c r="G4" s="17">
        <f>IF(ISBLANK(B4),"",VLOOKUP(B4,formules!E:L,8,0))</f>
        <v>35.9</v>
      </c>
      <c r="H4" s="1" t="str">
        <f t="shared" si="3"/>
        <v>Size</v>
      </c>
      <c r="I4" s="1" t="s">
        <v>96</v>
      </c>
      <c r="J4" s="1">
        <f t="shared" si="4"/>
        <v>1</v>
      </c>
    </row>
    <row r="5" spans="1:10" x14ac:dyDescent="0.2">
      <c r="A5" s="1" t="str">
        <f t="shared" si="0"/>
        <v>variation</v>
      </c>
      <c r="B5" s="1" t="s">
        <v>176</v>
      </c>
      <c r="C5" s="15">
        <f t="shared" ca="1" si="1"/>
        <v>8017506830044</v>
      </c>
      <c r="D5" s="1" t="str">
        <f>IF(ISBLANK(B5),"",VLOOKUP(B5,formules!E:F,2,0))</f>
        <v>Rustic gathered top ecru</v>
      </c>
      <c r="E5" s="1">
        <f t="shared" si="2"/>
        <v>1</v>
      </c>
      <c r="F5" s="17">
        <f>IF(ISBLANK(B5),"",VLOOKUP(B5,formules!E:K,7,0))</f>
        <v>27.9</v>
      </c>
      <c r="G5" s="17">
        <f>IF(ISBLANK(B5),"",VLOOKUP(B5,formules!E:L,8,0))</f>
        <v>35.9</v>
      </c>
      <c r="H5" s="1" t="str">
        <f t="shared" si="3"/>
        <v>Size</v>
      </c>
      <c r="I5" s="1" t="s">
        <v>171</v>
      </c>
      <c r="J5" s="1">
        <f t="shared" si="4"/>
        <v>1</v>
      </c>
    </row>
    <row r="6" spans="1:10" x14ac:dyDescent="0.2">
      <c r="A6" s="1" t="str">
        <f t="shared" si="0"/>
        <v>variation</v>
      </c>
      <c r="B6" s="1" t="s">
        <v>176</v>
      </c>
      <c r="C6" s="15">
        <f t="shared" ca="1" si="1"/>
        <v>2383781588566</v>
      </c>
      <c r="D6" s="1" t="str">
        <f>IF(ISBLANK(B6),"",VLOOKUP(B6,formules!E:F,2,0))</f>
        <v>Rustic gathered top ecru</v>
      </c>
      <c r="E6" s="1">
        <f t="shared" si="2"/>
        <v>1</v>
      </c>
      <c r="F6" s="17">
        <f>IF(ISBLANK(B6),"",VLOOKUP(B6,formules!E:K,7,0))</f>
        <v>27.9</v>
      </c>
      <c r="G6" s="17">
        <f>IF(ISBLANK(B6),"",VLOOKUP(B6,formules!E:L,8,0))</f>
        <v>35.9</v>
      </c>
      <c r="H6" s="1" t="str">
        <f t="shared" si="3"/>
        <v>Size</v>
      </c>
      <c r="I6" s="1" t="s">
        <v>172</v>
      </c>
      <c r="J6" s="1">
        <f t="shared" si="4"/>
        <v>1</v>
      </c>
    </row>
    <row r="7" spans="1:10" x14ac:dyDescent="0.2">
      <c r="A7" s="1" t="str">
        <f t="shared" si="0"/>
        <v>variation</v>
      </c>
      <c r="B7" s="1" t="s">
        <v>177</v>
      </c>
      <c r="C7" s="15">
        <f t="shared" ca="1" si="1"/>
        <v>2055449714451</v>
      </c>
      <c r="D7" s="1" t="str">
        <f>IF(ISBLANK(B7),"",VLOOKUP(B7,formules!E:F,2,0))</f>
        <v>Rustic gathered top beige</v>
      </c>
      <c r="E7" s="1">
        <f t="shared" si="2"/>
        <v>1</v>
      </c>
      <c r="F7" s="17">
        <f>IF(ISBLANK(B7),"",VLOOKUP(B7,formules!E:K,7,0))</f>
        <v>27.9</v>
      </c>
      <c r="G7" s="17">
        <f>IF(ISBLANK(B7),"",VLOOKUP(B7,formules!E:L,8,0))</f>
        <v>35.9</v>
      </c>
      <c r="H7" s="1" t="str">
        <f t="shared" si="3"/>
        <v>Size</v>
      </c>
      <c r="I7" s="1" t="s">
        <v>170</v>
      </c>
      <c r="J7" s="1">
        <f t="shared" si="4"/>
        <v>1</v>
      </c>
    </row>
    <row r="8" spans="1:10" x14ac:dyDescent="0.2">
      <c r="A8" s="1" t="str">
        <f t="shared" si="0"/>
        <v>variation</v>
      </c>
      <c r="B8" s="1" t="s">
        <v>177</v>
      </c>
      <c r="C8" s="15">
        <f t="shared" ca="1" si="1"/>
        <v>8963778080663</v>
      </c>
      <c r="D8" s="1" t="str">
        <f>IF(ISBLANK(B8),"",VLOOKUP(B8,formules!E:F,2,0))</f>
        <v>Rustic gathered top beige</v>
      </c>
      <c r="E8" s="1">
        <f t="shared" si="2"/>
        <v>1</v>
      </c>
      <c r="F8" s="17">
        <f>IF(ISBLANK(B8),"",VLOOKUP(B8,formules!E:K,7,0))</f>
        <v>27.9</v>
      </c>
      <c r="G8" s="17">
        <f>IF(ISBLANK(B8),"",VLOOKUP(B8,formules!E:L,8,0))</f>
        <v>35.9</v>
      </c>
      <c r="H8" s="1" t="str">
        <f t="shared" si="3"/>
        <v>Size</v>
      </c>
      <c r="I8" s="1" t="s">
        <v>10</v>
      </c>
      <c r="J8" s="1">
        <f t="shared" si="4"/>
        <v>1</v>
      </c>
    </row>
    <row r="9" spans="1:10" x14ac:dyDescent="0.2">
      <c r="A9" s="1" t="str">
        <f t="shared" si="0"/>
        <v>variation</v>
      </c>
      <c r="B9" s="1" t="s">
        <v>177</v>
      </c>
      <c r="C9" s="15">
        <f t="shared" ca="1" si="1"/>
        <v>7641713516314</v>
      </c>
      <c r="D9" s="1" t="str">
        <f>IF(ISBLANK(B9),"",VLOOKUP(B9,formules!E:F,2,0))</f>
        <v>Rustic gathered top beige</v>
      </c>
      <c r="E9" s="1">
        <f t="shared" si="2"/>
        <v>1</v>
      </c>
      <c r="F9" s="17">
        <f>IF(ISBLANK(B9),"",VLOOKUP(B9,formules!E:K,7,0))</f>
        <v>27.9</v>
      </c>
      <c r="G9" s="17">
        <f>IF(ISBLANK(B9),"",VLOOKUP(B9,formules!E:L,8,0))</f>
        <v>35.9</v>
      </c>
      <c r="H9" s="1" t="str">
        <f t="shared" si="3"/>
        <v>Size</v>
      </c>
      <c r="I9" s="1" t="s">
        <v>96</v>
      </c>
      <c r="J9" s="1">
        <f t="shared" si="4"/>
        <v>1</v>
      </c>
    </row>
    <row r="10" spans="1:10" x14ac:dyDescent="0.2">
      <c r="A10" s="1" t="str">
        <f t="shared" si="0"/>
        <v>variation</v>
      </c>
      <c r="B10" s="1" t="s">
        <v>177</v>
      </c>
      <c r="C10" s="15">
        <f t="shared" ca="1" si="1"/>
        <v>1571345207021</v>
      </c>
      <c r="D10" s="1" t="str">
        <f>IF(ISBLANK(B10),"",VLOOKUP(B10,formules!E:F,2,0))</f>
        <v>Rustic gathered top beige</v>
      </c>
      <c r="E10" s="1">
        <f t="shared" si="2"/>
        <v>1</v>
      </c>
      <c r="F10" s="17">
        <f>IF(ISBLANK(B10),"",VLOOKUP(B10,formules!E:K,7,0))</f>
        <v>27.9</v>
      </c>
      <c r="G10" s="17">
        <f>IF(ISBLANK(B10),"",VLOOKUP(B10,formules!E:L,8,0))</f>
        <v>35.9</v>
      </c>
      <c r="H10" s="1" t="str">
        <f t="shared" si="3"/>
        <v>Size</v>
      </c>
      <c r="I10" s="1" t="s">
        <v>171</v>
      </c>
      <c r="J10" s="1">
        <f t="shared" si="4"/>
        <v>1</v>
      </c>
    </row>
    <row r="11" spans="1:10" x14ac:dyDescent="0.2">
      <c r="A11" s="1" t="str">
        <f t="shared" si="0"/>
        <v>variation</v>
      </c>
      <c r="B11" s="1" t="s">
        <v>177</v>
      </c>
      <c r="C11" s="15">
        <f t="shared" ca="1" si="1"/>
        <v>8137459341056</v>
      </c>
      <c r="D11" s="1" t="str">
        <f>IF(ISBLANK(B11),"",VLOOKUP(B11,formules!E:F,2,0))</f>
        <v>Rustic gathered top beige</v>
      </c>
      <c r="E11" s="1">
        <f t="shared" si="2"/>
        <v>1</v>
      </c>
      <c r="F11" s="17">
        <f>IF(ISBLANK(B11),"",VLOOKUP(B11,formules!E:K,7,0))</f>
        <v>27.9</v>
      </c>
      <c r="G11" s="17">
        <f>IF(ISBLANK(B11),"",VLOOKUP(B11,formules!E:L,8,0))</f>
        <v>35.9</v>
      </c>
      <c r="H11" s="1" t="str">
        <f t="shared" si="3"/>
        <v>Size</v>
      </c>
      <c r="I11" s="1" t="s">
        <v>172</v>
      </c>
      <c r="J11" s="1">
        <f t="shared" si="4"/>
        <v>1</v>
      </c>
    </row>
    <row r="12" spans="1:10" x14ac:dyDescent="0.2">
      <c r="A12" s="1" t="str">
        <f t="shared" si="0"/>
        <v>variation</v>
      </c>
      <c r="B12" s="1" t="s">
        <v>178</v>
      </c>
      <c r="C12" s="15">
        <f t="shared" ca="1" si="1"/>
        <v>2333129468926</v>
      </c>
      <c r="D12" s="1" t="str">
        <f>IF(ISBLANK(B12),"",VLOOKUP(B12,formules!E:F,2,0))</f>
        <v>Rustic gathered top khaki</v>
      </c>
      <c r="E12" s="1">
        <f t="shared" si="2"/>
        <v>1</v>
      </c>
      <c r="F12" s="17">
        <f>IF(ISBLANK(B12),"",VLOOKUP(B12,formules!E:K,7,0))</f>
        <v>27.9</v>
      </c>
      <c r="G12" s="17">
        <f>IF(ISBLANK(B12),"",VLOOKUP(B12,formules!E:L,8,0))</f>
        <v>35.9</v>
      </c>
      <c r="H12" s="1" t="str">
        <f t="shared" si="3"/>
        <v>Size</v>
      </c>
      <c r="I12" s="1" t="s">
        <v>170</v>
      </c>
      <c r="J12" s="1">
        <f t="shared" si="4"/>
        <v>1</v>
      </c>
    </row>
    <row r="13" spans="1:10" x14ac:dyDescent="0.2">
      <c r="A13" s="1" t="str">
        <f t="shared" si="0"/>
        <v>variation</v>
      </c>
      <c r="B13" s="1" t="s">
        <v>178</v>
      </c>
      <c r="C13" s="15">
        <f t="shared" ca="1" si="1"/>
        <v>7904205202851</v>
      </c>
      <c r="D13" s="1" t="str">
        <f>IF(ISBLANK(B13),"",VLOOKUP(B13,formules!E:F,2,0))</f>
        <v>Rustic gathered top khaki</v>
      </c>
      <c r="E13" s="1">
        <f t="shared" si="2"/>
        <v>1</v>
      </c>
      <c r="F13" s="17">
        <f>IF(ISBLANK(B13),"",VLOOKUP(B13,formules!E:K,7,0))</f>
        <v>27.9</v>
      </c>
      <c r="G13" s="17">
        <f>IF(ISBLANK(B13),"",VLOOKUP(B13,formules!E:L,8,0))</f>
        <v>35.9</v>
      </c>
      <c r="H13" s="1" t="str">
        <f t="shared" si="3"/>
        <v>Size</v>
      </c>
      <c r="I13" s="1" t="s">
        <v>10</v>
      </c>
      <c r="J13" s="1">
        <f t="shared" si="4"/>
        <v>1</v>
      </c>
    </row>
    <row r="14" spans="1:10" x14ac:dyDescent="0.2">
      <c r="A14" s="1" t="str">
        <f t="shared" si="0"/>
        <v>variation</v>
      </c>
      <c r="B14" s="1" t="s">
        <v>178</v>
      </c>
      <c r="C14" s="15">
        <f t="shared" ca="1" si="1"/>
        <v>3133321011289</v>
      </c>
      <c r="D14" s="1" t="str">
        <f>IF(ISBLANK(B14),"",VLOOKUP(B14,formules!E:F,2,0))</f>
        <v>Rustic gathered top khaki</v>
      </c>
      <c r="E14" s="1">
        <f t="shared" si="2"/>
        <v>1</v>
      </c>
      <c r="F14" s="17">
        <f>IF(ISBLANK(B14),"",VLOOKUP(B14,formules!E:K,7,0))</f>
        <v>27.9</v>
      </c>
      <c r="G14" s="17">
        <f>IF(ISBLANK(B14),"",VLOOKUP(B14,formules!E:L,8,0))</f>
        <v>35.9</v>
      </c>
      <c r="H14" s="1" t="str">
        <f t="shared" si="3"/>
        <v>Size</v>
      </c>
      <c r="I14" s="1" t="s">
        <v>96</v>
      </c>
      <c r="J14" s="1">
        <f t="shared" si="4"/>
        <v>1</v>
      </c>
    </row>
    <row r="15" spans="1:10" x14ac:dyDescent="0.2">
      <c r="A15" s="1" t="str">
        <f t="shared" si="0"/>
        <v>variation</v>
      </c>
      <c r="B15" s="1" t="s">
        <v>178</v>
      </c>
      <c r="C15" s="15">
        <f t="shared" ca="1" si="1"/>
        <v>4906602840363</v>
      </c>
      <c r="D15" s="1" t="str">
        <f>IF(ISBLANK(B15),"",VLOOKUP(B15,formules!E:F,2,0))</f>
        <v>Rustic gathered top khaki</v>
      </c>
      <c r="E15" s="1">
        <f t="shared" si="2"/>
        <v>1</v>
      </c>
      <c r="F15" s="17">
        <f>IF(ISBLANK(B15),"",VLOOKUP(B15,formules!E:K,7,0))</f>
        <v>27.9</v>
      </c>
      <c r="G15" s="17">
        <f>IF(ISBLANK(B15),"",VLOOKUP(B15,formules!E:L,8,0))</f>
        <v>35.9</v>
      </c>
      <c r="H15" s="1" t="str">
        <f t="shared" si="3"/>
        <v>Size</v>
      </c>
      <c r="I15" s="1" t="s">
        <v>171</v>
      </c>
      <c r="J15" s="1">
        <f t="shared" si="4"/>
        <v>1</v>
      </c>
    </row>
    <row r="16" spans="1:10" x14ac:dyDescent="0.2">
      <c r="A16" s="1" t="str">
        <f t="shared" si="0"/>
        <v>variation</v>
      </c>
      <c r="B16" s="1" t="s">
        <v>178</v>
      </c>
      <c r="C16" s="15">
        <f t="shared" ca="1" si="1"/>
        <v>1502544811727</v>
      </c>
      <c r="D16" s="1" t="str">
        <f>IF(ISBLANK(B16),"",VLOOKUP(B16,formules!E:F,2,0))</f>
        <v>Rustic gathered top khaki</v>
      </c>
      <c r="E16" s="1">
        <f t="shared" si="2"/>
        <v>1</v>
      </c>
      <c r="F16" s="17">
        <f>IF(ISBLANK(B16),"",VLOOKUP(B16,formules!E:K,7,0))</f>
        <v>27.9</v>
      </c>
      <c r="G16" s="17">
        <f>IF(ISBLANK(B16),"",VLOOKUP(B16,formules!E:L,8,0))</f>
        <v>35.9</v>
      </c>
      <c r="H16" s="1" t="str">
        <f t="shared" si="3"/>
        <v>Size</v>
      </c>
      <c r="I16" s="1" t="s">
        <v>172</v>
      </c>
      <c r="J16" s="1">
        <f t="shared" si="4"/>
        <v>1</v>
      </c>
    </row>
    <row r="17" spans="1:10" x14ac:dyDescent="0.2">
      <c r="A17" s="1" t="str">
        <f t="shared" si="0"/>
        <v>variation</v>
      </c>
      <c r="B17" s="1" t="s">
        <v>179</v>
      </c>
      <c r="C17" s="15">
        <f t="shared" ca="1" si="1"/>
        <v>9488465865727</v>
      </c>
      <c r="D17" s="1" t="str">
        <f>IF(ISBLANK(B17),"",VLOOKUP(B17,formules!E:F,2,0))</f>
        <v>Rustic crossed blouse medium green</v>
      </c>
      <c r="E17" s="1">
        <f t="shared" si="2"/>
        <v>1</v>
      </c>
      <c r="F17" s="17">
        <f>IF(ISBLANK(B17),"",VLOOKUP(B17,formules!E:K,7,0))</f>
        <v>25.9</v>
      </c>
      <c r="G17" s="17">
        <f>IF(ISBLANK(B17),"",VLOOKUP(B17,formules!E:L,8,0))</f>
        <v>39.9</v>
      </c>
      <c r="H17" s="1" t="str">
        <f t="shared" si="3"/>
        <v>Size</v>
      </c>
      <c r="I17" s="1" t="s">
        <v>170</v>
      </c>
      <c r="J17" s="1">
        <f t="shared" si="4"/>
        <v>1</v>
      </c>
    </row>
    <row r="18" spans="1:10" x14ac:dyDescent="0.2">
      <c r="A18" s="1" t="str">
        <f t="shared" si="0"/>
        <v>variation</v>
      </c>
      <c r="B18" s="1" t="s">
        <v>179</v>
      </c>
      <c r="C18" s="15">
        <f t="shared" ca="1" si="1"/>
        <v>4950925637019</v>
      </c>
      <c r="D18" s="1" t="str">
        <f>IF(ISBLANK(B18),"",VLOOKUP(B18,formules!E:F,2,0))</f>
        <v>Rustic crossed blouse medium green</v>
      </c>
      <c r="E18" s="1">
        <f t="shared" si="2"/>
        <v>1</v>
      </c>
      <c r="F18" s="17">
        <f>IF(ISBLANK(B18),"",VLOOKUP(B18,formules!E:K,7,0))</f>
        <v>25.9</v>
      </c>
      <c r="G18" s="17">
        <f>IF(ISBLANK(B18),"",VLOOKUP(B18,formules!E:L,8,0))</f>
        <v>39.9</v>
      </c>
      <c r="H18" s="1" t="str">
        <f t="shared" si="3"/>
        <v>Size</v>
      </c>
      <c r="I18" s="1" t="s">
        <v>10</v>
      </c>
      <c r="J18" s="1">
        <f t="shared" si="4"/>
        <v>1</v>
      </c>
    </row>
    <row r="19" spans="1:10" x14ac:dyDescent="0.2">
      <c r="A19" s="1" t="str">
        <f t="shared" si="0"/>
        <v>variation</v>
      </c>
      <c r="B19" s="1" t="s">
        <v>179</v>
      </c>
      <c r="C19" s="15">
        <f t="shared" ca="1" si="1"/>
        <v>9403368688238</v>
      </c>
      <c r="D19" s="1" t="str">
        <f>IF(ISBLANK(B19),"",VLOOKUP(B19,formules!E:F,2,0))</f>
        <v>Rustic crossed blouse medium green</v>
      </c>
      <c r="E19" s="1">
        <f t="shared" si="2"/>
        <v>1</v>
      </c>
      <c r="F19" s="17">
        <f>IF(ISBLANK(B19),"",VLOOKUP(B19,formules!E:K,7,0))</f>
        <v>25.9</v>
      </c>
      <c r="G19" s="17">
        <f>IF(ISBLANK(B19),"",VLOOKUP(B19,formules!E:L,8,0))</f>
        <v>39.9</v>
      </c>
      <c r="H19" s="1" t="str">
        <f t="shared" si="3"/>
        <v>Size</v>
      </c>
      <c r="I19" s="1" t="s">
        <v>96</v>
      </c>
      <c r="J19" s="1">
        <f t="shared" si="4"/>
        <v>1</v>
      </c>
    </row>
    <row r="20" spans="1:10" x14ac:dyDescent="0.2">
      <c r="A20" s="1" t="str">
        <f t="shared" si="0"/>
        <v>variation</v>
      </c>
      <c r="B20" s="1" t="s">
        <v>179</v>
      </c>
      <c r="C20" s="15">
        <f t="shared" ca="1" si="1"/>
        <v>4222704686373</v>
      </c>
      <c r="D20" s="1" t="str">
        <f>IF(ISBLANK(B20),"",VLOOKUP(B20,formules!E:F,2,0))</f>
        <v>Rustic crossed blouse medium green</v>
      </c>
      <c r="E20" s="1">
        <f t="shared" si="2"/>
        <v>1</v>
      </c>
      <c r="F20" s="17">
        <f>IF(ISBLANK(B20),"",VLOOKUP(B20,formules!E:K,7,0))</f>
        <v>25.9</v>
      </c>
      <c r="G20" s="17">
        <f>IF(ISBLANK(B20),"",VLOOKUP(B20,formules!E:L,8,0))</f>
        <v>39.9</v>
      </c>
      <c r="H20" s="1" t="str">
        <f t="shared" si="3"/>
        <v>Size</v>
      </c>
      <c r="I20" s="1" t="s">
        <v>171</v>
      </c>
      <c r="J20" s="1">
        <f t="shared" si="4"/>
        <v>1</v>
      </c>
    </row>
    <row r="21" spans="1:10" x14ac:dyDescent="0.2">
      <c r="A21" s="1" t="str">
        <f t="shared" si="0"/>
        <v>variation</v>
      </c>
      <c r="B21" s="1" t="s">
        <v>179</v>
      </c>
      <c r="C21" s="15">
        <f t="shared" ca="1" si="1"/>
        <v>5266055467576</v>
      </c>
      <c r="D21" s="1" t="str">
        <f>IF(ISBLANK(B21),"",VLOOKUP(B21,formules!E:F,2,0))</f>
        <v>Rustic crossed blouse medium green</v>
      </c>
      <c r="E21" s="1">
        <f t="shared" si="2"/>
        <v>1</v>
      </c>
      <c r="F21" s="17">
        <f>IF(ISBLANK(B21),"",VLOOKUP(B21,formules!E:K,7,0))</f>
        <v>25.9</v>
      </c>
      <c r="G21" s="17">
        <f>IF(ISBLANK(B21),"",VLOOKUP(B21,formules!E:L,8,0))</f>
        <v>39.9</v>
      </c>
      <c r="H21" s="1" t="str">
        <f t="shared" si="3"/>
        <v>Size</v>
      </c>
      <c r="I21" s="1" t="s">
        <v>172</v>
      </c>
      <c r="J21" s="1">
        <f t="shared" si="4"/>
        <v>1</v>
      </c>
    </row>
    <row r="22" spans="1:10" x14ac:dyDescent="0.2">
      <c r="A22" s="1" t="str">
        <f t="shared" si="0"/>
        <v>variation</v>
      </c>
      <c r="B22" s="1" t="s">
        <v>180</v>
      </c>
      <c r="C22" s="15">
        <f t="shared" ca="1" si="1"/>
        <v>6878702696540</v>
      </c>
      <c r="D22" s="1" t="str">
        <f>IF(ISBLANK(B22),"",VLOOKUP(B22,formules!E:F,2,0))</f>
        <v>Chicago hoodie burgundy</v>
      </c>
      <c r="E22" s="1">
        <f t="shared" si="2"/>
        <v>1</v>
      </c>
      <c r="F22" s="17">
        <f>IF(ISBLANK(B22),"",VLOOKUP(B22,formules!E:K,7,0))</f>
        <v>17.899999999999999</v>
      </c>
      <c r="G22" s="17">
        <f>IF(ISBLANK(B22),"",VLOOKUP(B22,formules!E:L,8,0))</f>
        <v>45.9</v>
      </c>
      <c r="H22" s="1" t="str">
        <f t="shared" si="3"/>
        <v>Size</v>
      </c>
      <c r="I22" s="1" t="s">
        <v>170</v>
      </c>
      <c r="J22" s="1">
        <f t="shared" si="4"/>
        <v>1</v>
      </c>
    </row>
    <row r="23" spans="1:10" x14ac:dyDescent="0.2">
      <c r="A23" s="1" t="str">
        <f t="shared" si="0"/>
        <v>variation</v>
      </c>
      <c r="B23" s="1" t="s">
        <v>180</v>
      </c>
      <c r="C23" s="15">
        <f t="shared" ca="1" si="1"/>
        <v>3186013670712</v>
      </c>
      <c r="D23" s="1" t="str">
        <f>IF(ISBLANK(B23),"",VLOOKUP(B23,formules!E:F,2,0))</f>
        <v>Chicago hoodie burgundy</v>
      </c>
      <c r="E23" s="1">
        <f t="shared" si="2"/>
        <v>1</v>
      </c>
      <c r="F23" s="17">
        <f>IF(ISBLANK(B23),"",VLOOKUP(B23,formules!E:K,7,0))</f>
        <v>17.899999999999999</v>
      </c>
      <c r="G23" s="17">
        <f>IF(ISBLANK(B23),"",VLOOKUP(B23,formules!E:L,8,0))</f>
        <v>45.9</v>
      </c>
      <c r="H23" s="1" t="str">
        <f t="shared" si="3"/>
        <v>Size</v>
      </c>
      <c r="I23" s="1" t="s">
        <v>10</v>
      </c>
      <c r="J23" s="1">
        <f t="shared" si="4"/>
        <v>1</v>
      </c>
    </row>
    <row r="24" spans="1:10" x14ac:dyDescent="0.2">
      <c r="A24" s="1" t="str">
        <f t="shared" si="0"/>
        <v>variation</v>
      </c>
      <c r="B24" s="1" t="s">
        <v>180</v>
      </c>
      <c r="C24" s="15">
        <f t="shared" ca="1" si="1"/>
        <v>2192172021831</v>
      </c>
      <c r="D24" s="1" t="str">
        <f>IF(ISBLANK(B24),"",VLOOKUP(B24,formules!E:F,2,0))</f>
        <v>Chicago hoodie burgundy</v>
      </c>
      <c r="E24" s="1">
        <f t="shared" si="2"/>
        <v>1</v>
      </c>
      <c r="F24" s="17">
        <f>IF(ISBLANK(B24),"",VLOOKUP(B24,formules!E:K,7,0))</f>
        <v>17.899999999999999</v>
      </c>
      <c r="G24" s="17">
        <f>IF(ISBLANK(B24),"",VLOOKUP(B24,formules!E:L,8,0))</f>
        <v>45.9</v>
      </c>
      <c r="H24" s="1" t="str">
        <f t="shared" si="3"/>
        <v>Size</v>
      </c>
      <c r="I24" s="1" t="s">
        <v>96</v>
      </c>
      <c r="J24" s="1">
        <f t="shared" si="4"/>
        <v>1</v>
      </c>
    </row>
    <row r="25" spans="1:10" x14ac:dyDescent="0.2">
      <c r="A25" s="1" t="str">
        <f t="shared" si="0"/>
        <v>variation</v>
      </c>
      <c r="B25" s="1" t="s">
        <v>180</v>
      </c>
      <c r="C25" s="15">
        <f t="shared" ca="1" si="1"/>
        <v>3855931086770</v>
      </c>
      <c r="D25" s="1" t="str">
        <f>IF(ISBLANK(B25),"",VLOOKUP(B25,formules!E:F,2,0))</f>
        <v>Chicago hoodie burgundy</v>
      </c>
      <c r="E25" s="1">
        <f t="shared" si="2"/>
        <v>1</v>
      </c>
      <c r="F25" s="17">
        <f>IF(ISBLANK(B25),"",VLOOKUP(B25,formules!E:K,7,0))</f>
        <v>17.899999999999999</v>
      </c>
      <c r="G25" s="17">
        <f>IF(ISBLANK(B25),"",VLOOKUP(B25,formules!E:L,8,0))</f>
        <v>45.9</v>
      </c>
      <c r="H25" s="1" t="str">
        <f t="shared" si="3"/>
        <v>Size</v>
      </c>
      <c r="I25" s="1" t="s">
        <v>171</v>
      </c>
      <c r="J25" s="1">
        <f t="shared" si="4"/>
        <v>1</v>
      </c>
    </row>
    <row r="26" spans="1:10" x14ac:dyDescent="0.2">
      <c r="A26" s="1" t="str">
        <f t="shared" si="0"/>
        <v>variation</v>
      </c>
      <c r="B26" s="1" t="s">
        <v>180</v>
      </c>
      <c r="C26" s="15">
        <f t="shared" ca="1" si="1"/>
        <v>6929539083563</v>
      </c>
      <c r="D26" s="1" t="str">
        <f>IF(ISBLANK(B26),"",VLOOKUP(B26,formules!E:F,2,0))</f>
        <v>Chicago hoodie burgundy</v>
      </c>
      <c r="E26" s="1">
        <f t="shared" si="2"/>
        <v>1</v>
      </c>
      <c r="F26" s="17">
        <f>IF(ISBLANK(B26),"",VLOOKUP(B26,formules!E:K,7,0))</f>
        <v>17.899999999999999</v>
      </c>
      <c r="G26" s="17">
        <f>IF(ISBLANK(B26),"",VLOOKUP(B26,formules!E:L,8,0))</f>
        <v>45.9</v>
      </c>
      <c r="H26" s="1" t="str">
        <f t="shared" si="3"/>
        <v>Size</v>
      </c>
      <c r="I26" s="1" t="s">
        <v>172</v>
      </c>
      <c r="J26" s="1">
        <f t="shared" si="4"/>
        <v>1</v>
      </c>
    </row>
    <row r="27" spans="1:10" x14ac:dyDescent="0.2">
      <c r="A27" s="1" t="str">
        <f t="shared" si="0"/>
        <v>variation</v>
      </c>
      <c r="B27" s="1" t="s">
        <v>181</v>
      </c>
      <c r="C27" s="15">
        <f t="shared" ca="1" si="1"/>
        <v>2916892543831</v>
      </c>
      <c r="D27" s="1" t="str">
        <f>IF(ISBLANK(B27),"",VLOOKUP(B27,formules!E:F,2,0))</f>
        <v>Flowy pants with linen white</v>
      </c>
      <c r="E27" s="1">
        <f t="shared" si="2"/>
        <v>1</v>
      </c>
      <c r="F27" s="17">
        <f>IF(ISBLANK(B27),"",VLOOKUP(B27,formules!E:K,7,0))</f>
        <v>35.9</v>
      </c>
      <c r="G27" s="17">
        <f>IF(ISBLANK(B27),"",VLOOKUP(B27,formules!E:L,8,0))</f>
        <v>47.9</v>
      </c>
      <c r="H27" s="1" t="str">
        <f t="shared" si="3"/>
        <v>Size</v>
      </c>
      <c r="I27" s="1" t="s">
        <v>170</v>
      </c>
      <c r="J27" s="1">
        <f t="shared" si="4"/>
        <v>1</v>
      </c>
    </row>
    <row r="28" spans="1:10" x14ac:dyDescent="0.2">
      <c r="A28" s="1" t="str">
        <f t="shared" si="0"/>
        <v>variation</v>
      </c>
      <c r="B28" s="1" t="s">
        <v>181</v>
      </c>
      <c r="C28" s="15">
        <f t="shared" ca="1" si="1"/>
        <v>6999152040346</v>
      </c>
      <c r="D28" s="1" t="str">
        <f>IF(ISBLANK(B28),"",VLOOKUP(B28,formules!E:F,2,0))</f>
        <v>Flowy pants with linen white</v>
      </c>
      <c r="E28" s="1">
        <f t="shared" si="2"/>
        <v>1</v>
      </c>
      <c r="F28" s="17">
        <f>IF(ISBLANK(B28),"",VLOOKUP(B28,formules!E:K,7,0))</f>
        <v>35.9</v>
      </c>
      <c r="G28" s="17">
        <f>IF(ISBLANK(B28),"",VLOOKUP(B28,formules!E:L,8,0))</f>
        <v>47.9</v>
      </c>
      <c r="H28" s="1" t="str">
        <f t="shared" si="3"/>
        <v>Size</v>
      </c>
      <c r="I28" s="1" t="s">
        <v>10</v>
      </c>
      <c r="J28" s="1">
        <f t="shared" si="4"/>
        <v>1</v>
      </c>
    </row>
    <row r="29" spans="1:10" x14ac:dyDescent="0.2">
      <c r="A29" s="1" t="str">
        <f t="shared" si="0"/>
        <v>variation</v>
      </c>
      <c r="B29" s="1" t="s">
        <v>181</v>
      </c>
      <c r="C29" s="15">
        <f t="shared" ca="1" si="1"/>
        <v>5107164203044</v>
      </c>
      <c r="D29" s="1" t="str">
        <f>IF(ISBLANK(B29),"",VLOOKUP(B29,formules!E:F,2,0))</f>
        <v>Flowy pants with linen white</v>
      </c>
      <c r="E29" s="1">
        <f t="shared" si="2"/>
        <v>1</v>
      </c>
      <c r="F29" s="17">
        <f>IF(ISBLANK(B29),"",VLOOKUP(B29,formules!E:K,7,0))</f>
        <v>35.9</v>
      </c>
      <c r="G29" s="17">
        <f>IF(ISBLANK(B29),"",VLOOKUP(B29,formules!E:L,8,0))</f>
        <v>47.9</v>
      </c>
      <c r="H29" s="1" t="str">
        <f t="shared" si="3"/>
        <v>Size</v>
      </c>
      <c r="I29" s="1" t="s">
        <v>96</v>
      </c>
      <c r="J29" s="1">
        <f t="shared" si="4"/>
        <v>1</v>
      </c>
    </row>
    <row r="30" spans="1:10" x14ac:dyDescent="0.2">
      <c r="A30" s="1" t="str">
        <f t="shared" si="0"/>
        <v>variation</v>
      </c>
      <c r="B30" s="1" t="s">
        <v>181</v>
      </c>
      <c r="C30" s="15">
        <f t="shared" ca="1" si="1"/>
        <v>4506822804125</v>
      </c>
      <c r="D30" s="1" t="str">
        <f>IF(ISBLANK(B30),"",VLOOKUP(B30,formules!E:F,2,0))</f>
        <v>Flowy pants with linen white</v>
      </c>
      <c r="E30" s="1">
        <f t="shared" si="2"/>
        <v>1</v>
      </c>
      <c r="F30" s="17">
        <f>IF(ISBLANK(B30),"",VLOOKUP(B30,formules!E:K,7,0))</f>
        <v>35.9</v>
      </c>
      <c r="G30" s="17">
        <f>IF(ISBLANK(B30),"",VLOOKUP(B30,formules!E:L,8,0))</f>
        <v>47.9</v>
      </c>
      <c r="H30" s="1" t="str">
        <f t="shared" si="3"/>
        <v>Size</v>
      </c>
      <c r="I30" s="1" t="s">
        <v>171</v>
      </c>
      <c r="J30" s="1">
        <f t="shared" si="4"/>
        <v>1</v>
      </c>
    </row>
    <row r="31" spans="1:10" x14ac:dyDescent="0.2">
      <c r="A31" s="1" t="str">
        <f t="shared" si="0"/>
        <v>variation</v>
      </c>
      <c r="B31" s="1" t="s">
        <v>181</v>
      </c>
      <c r="C31" s="15">
        <f t="shared" ca="1" si="1"/>
        <v>8716971505806</v>
      </c>
      <c r="D31" s="1" t="str">
        <f>IF(ISBLANK(B31),"",VLOOKUP(B31,formules!E:F,2,0))</f>
        <v>Flowy pants with linen white</v>
      </c>
      <c r="E31" s="1">
        <f t="shared" si="2"/>
        <v>1</v>
      </c>
      <c r="F31" s="17">
        <f>IF(ISBLANK(B31),"",VLOOKUP(B31,formules!E:K,7,0))</f>
        <v>35.9</v>
      </c>
      <c r="G31" s="17">
        <f>IF(ISBLANK(B31),"",VLOOKUP(B31,formules!E:L,8,0))</f>
        <v>47.9</v>
      </c>
      <c r="H31" s="1" t="str">
        <f t="shared" si="3"/>
        <v>Size</v>
      </c>
      <c r="I31" s="1" t="s">
        <v>172</v>
      </c>
      <c r="J31" s="1">
        <f t="shared" si="4"/>
        <v>1</v>
      </c>
    </row>
    <row r="32" spans="1:10" x14ac:dyDescent="0.2">
      <c r="A32" s="1" t="str">
        <f t="shared" si="0"/>
        <v>variation</v>
      </c>
      <c r="B32" s="1" t="s">
        <v>182</v>
      </c>
      <c r="C32" s="15">
        <f t="shared" ca="1" si="1"/>
        <v>6640635079022</v>
      </c>
      <c r="D32" s="1" t="str">
        <f>IF(ISBLANK(B32),"",VLOOKUP(B32,formules!E:F,2,0))</f>
        <v>Flowy pants with linen black</v>
      </c>
      <c r="E32" s="1">
        <f t="shared" si="2"/>
        <v>1</v>
      </c>
      <c r="F32" s="17">
        <f>IF(ISBLANK(B32),"",VLOOKUP(B32,formules!E:K,7,0))</f>
        <v>35.9</v>
      </c>
      <c r="G32" s="17">
        <f>IF(ISBLANK(B32),"",VLOOKUP(B32,formules!E:L,8,0))</f>
        <v>47.9</v>
      </c>
      <c r="H32" s="1" t="str">
        <f t="shared" si="3"/>
        <v>Size</v>
      </c>
      <c r="I32" s="1" t="s">
        <v>170</v>
      </c>
      <c r="J32" s="1">
        <f t="shared" si="4"/>
        <v>1</v>
      </c>
    </row>
    <row r="33" spans="1:10" x14ac:dyDescent="0.2">
      <c r="A33" s="1" t="str">
        <f t="shared" si="0"/>
        <v>variation</v>
      </c>
      <c r="B33" s="1" t="s">
        <v>182</v>
      </c>
      <c r="C33" s="15">
        <f t="shared" ca="1" si="1"/>
        <v>1158055130567</v>
      </c>
      <c r="D33" s="1" t="str">
        <f>IF(ISBLANK(B33),"",VLOOKUP(B33,formules!E:F,2,0))</f>
        <v>Flowy pants with linen black</v>
      </c>
      <c r="E33" s="1">
        <f t="shared" si="2"/>
        <v>1</v>
      </c>
      <c r="F33" s="17">
        <f>IF(ISBLANK(B33),"",VLOOKUP(B33,formules!E:K,7,0))</f>
        <v>35.9</v>
      </c>
      <c r="G33" s="17">
        <f>IF(ISBLANK(B33),"",VLOOKUP(B33,formules!E:L,8,0))</f>
        <v>47.9</v>
      </c>
      <c r="H33" s="1" t="str">
        <f t="shared" si="3"/>
        <v>Size</v>
      </c>
      <c r="I33" s="1" t="s">
        <v>10</v>
      </c>
      <c r="J33" s="1">
        <f t="shared" si="4"/>
        <v>1</v>
      </c>
    </row>
    <row r="34" spans="1:10" x14ac:dyDescent="0.2">
      <c r="A34" s="1" t="str">
        <f t="shared" si="0"/>
        <v>variation</v>
      </c>
      <c r="B34" s="1" t="s">
        <v>182</v>
      </c>
      <c r="C34" s="15">
        <f t="shared" ca="1" si="1"/>
        <v>1558095149998</v>
      </c>
      <c r="D34" s="1" t="str">
        <f>IF(ISBLANK(B34),"",VLOOKUP(B34,formules!E:F,2,0))</f>
        <v>Flowy pants with linen black</v>
      </c>
      <c r="E34" s="1">
        <f t="shared" si="2"/>
        <v>1</v>
      </c>
      <c r="F34" s="17">
        <f>IF(ISBLANK(B34),"",VLOOKUP(B34,formules!E:K,7,0))</f>
        <v>35.9</v>
      </c>
      <c r="G34" s="17">
        <f>IF(ISBLANK(B34),"",VLOOKUP(B34,formules!E:L,8,0))</f>
        <v>47.9</v>
      </c>
      <c r="H34" s="1" t="str">
        <f t="shared" si="3"/>
        <v>Size</v>
      </c>
      <c r="I34" s="1" t="s">
        <v>96</v>
      </c>
      <c r="J34" s="1">
        <f t="shared" si="4"/>
        <v>1</v>
      </c>
    </row>
    <row r="35" spans="1:10" x14ac:dyDescent="0.2">
      <c r="A35" s="1" t="str">
        <f t="shared" si="0"/>
        <v>variation</v>
      </c>
      <c r="B35" s="1" t="s">
        <v>182</v>
      </c>
      <c r="C35" s="15">
        <f t="shared" ca="1" si="1"/>
        <v>6603641921464</v>
      </c>
      <c r="D35" s="1" t="str">
        <f>IF(ISBLANK(B35),"",VLOOKUP(B35,formules!E:F,2,0))</f>
        <v>Flowy pants with linen black</v>
      </c>
      <c r="E35" s="1">
        <f t="shared" si="2"/>
        <v>1</v>
      </c>
      <c r="F35" s="17">
        <f>IF(ISBLANK(B35),"",VLOOKUP(B35,formules!E:K,7,0))</f>
        <v>35.9</v>
      </c>
      <c r="G35" s="17">
        <f>IF(ISBLANK(B35),"",VLOOKUP(B35,formules!E:L,8,0))</f>
        <v>47.9</v>
      </c>
      <c r="H35" s="1" t="str">
        <f t="shared" si="3"/>
        <v>Size</v>
      </c>
      <c r="I35" s="1" t="s">
        <v>171</v>
      </c>
      <c r="J35" s="1">
        <f t="shared" si="4"/>
        <v>1</v>
      </c>
    </row>
    <row r="36" spans="1:10" x14ac:dyDescent="0.2">
      <c r="A36" s="1" t="str">
        <f t="shared" si="0"/>
        <v>variation</v>
      </c>
      <c r="B36" s="1" t="s">
        <v>182</v>
      </c>
      <c r="C36" s="15">
        <f t="shared" ca="1" si="1"/>
        <v>8433659086251</v>
      </c>
      <c r="D36" s="1" t="str">
        <f>IF(ISBLANK(B36),"",VLOOKUP(B36,formules!E:F,2,0))</f>
        <v>Flowy pants with linen black</v>
      </c>
      <c r="E36" s="1">
        <f t="shared" si="2"/>
        <v>1</v>
      </c>
      <c r="F36" s="17">
        <f>IF(ISBLANK(B36),"",VLOOKUP(B36,formules!E:K,7,0))</f>
        <v>35.9</v>
      </c>
      <c r="G36" s="17">
        <f>IF(ISBLANK(B36),"",VLOOKUP(B36,formules!E:L,8,0))</f>
        <v>47.9</v>
      </c>
      <c r="H36" s="1" t="str">
        <f t="shared" si="3"/>
        <v>Size</v>
      </c>
      <c r="I36" s="1" t="s">
        <v>172</v>
      </c>
      <c r="J36" s="1">
        <f t="shared" si="4"/>
        <v>1</v>
      </c>
    </row>
    <row r="37" spans="1:10" x14ac:dyDescent="0.2">
      <c r="A37" s="1" t="str">
        <f t="shared" si="0"/>
        <v>variation</v>
      </c>
      <c r="B37" s="1" t="s">
        <v>183</v>
      </c>
      <c r="C37" s="15">
        <f t="shared" ca="1" si="1"/>
        <v>9679111881796</v>
      </c>
      <c r="D37" s="1" t="str">
        <f>IF(ISBLANK(B37),"",VLOOKUP(B37,formules!E:F,2,0))</f>
        <v>Flowy pants with linen taupe</v>
      </c>
      <c r="E37" s="1">
        <f t="shared" si="2"/>
        <v>1</v>
      </c>
      <c r="F37" s="17">
        <f>IF(ISBLANK(B37),"",VLOOKUP(B37,formules!E:K,7,0))</f>
        <v>35.9</v>
      </c>
      <c r="G37" s="17">
        <f>IF(ISBLANK(B37),"",VLOOKUP(B37,formules!E:L,8,0))</f>
        <v>47.9</v>
      </c>
      <c r="H37" s="1" t="str">
        <f t="shared" si="3"/>
        <v>Size</v>
      </c>
      <c r="I37" s="1" t="s">
        <v>170</v>
      </c>
      <c r="J37" s="1">
        <f t="shared" si="4"/>
        <v>1</v>
      </c>
    </row>
    <row r="38" spans="1:10" x14ac:dyDescent="0.2">
      <c r="A38" s="1" t="str">
        <f t="shared" si="0"/>
        <v>variation</v>
      </c>
      <c r="B38" s="1" t="s">
        <v>183</v>
      </c>
      <c r="C38" s="15">
        <f t="shared" ca="1" si="1"/>
        <v>4404860200243</v>
      </c>
      <c r="D38" s="1" t="str">
        <f>IF(ISBLANK(B38),"",VLOOKUP(B38,formules!E:F,2,0))</f>
        <v>Flowy pants with linen taupe</v>
      </c>
      <c r="E38" s="1">
        <f t="shared" si="2"/>
        <v>1</v>
      </c>
      <c r="F38" s="17">
        <f>IF(ISBLANK(B38),"",VLOOKUP(B38,formules!E:K,7,0))</f>
        <v>35.9</v>
      </c>
      <c r="G38" s="17">
        <f>IF(ISBLANK(B38),"",VLOOKUP(B38,formules!E:L,8,0))</f>
        <v>47.9</v>
      </c>
      <c r="H38" s="1" t="str">
        <f t="shared" si="3"/>
        <v>Size</v>
      </c>
      <c r="I38" s="1" t="s">
        <v>10</v>
      </c>
      <c r="J38" s="1">
        <f t="shared" si="4"/>
        <v>1</v>
      </c>
    </row>
    <row r="39" spans="1:10" x14ac:dyDescent="0.2">
      <c r="A39" s="1" t="str">
        <f t="shared" si="0"/>
        <v>variation</v>
      </c>
      <c r="B39" s="1" t="s">
        <v>183</v>
      </c>
      <c r="C39" s="15">
        <f t="shared" ca="1" si="1"/>
        <v>1681885871281</v>
      </c>
      <c r="D39" s="1" t="str">
        <f>IF(ISBLANK(B39),"",VLOOKUP(B39,formules!E:F,2,0))</f>
        <v>Flowy pants with linen taupe</v>
      </c>
      <c r="E39" s="1">
        <f t="shared" si="2"/>
        <v>1</v>
      </c>
      <c r="F39" s="17">
        <f>IF(ISBLANK(B39),"",VLOOKUP(B39,formules!E:K,7,0))</f>
        <v>35.9</v>
      </c>
      <c r="G39" s="17">
        <f>IF(ISBLANK(B39),"",VLOOKUP(B39,formules!E:L,8,0))</f>
        <v>47.9</v>
      </c>
      <c r="H39" s="1" t="str">
        <f t="shared" si="3"/>
        <v>Size</v>
      </c>
      <c r="I39" s="1" t="s">
        <v>96</v>
      </c>
      <c r="J39" s="1">
        <f t="shared" si="4"/>
        <v>1</v>
      </c>
    </row>
    <row r="40" spans="1:10" x14ac:dyDescent="0.2">
      <c r="A40" s="1" t="str">
        <f t="shared" si="0"/>
        <v>variation</v>
      </c>
      <c r="B40" s="1" t="s">
        <v>183</v>
      </c>
      <c r="C40" s="15">
        <f t="shared" ca="1" si="1"/>
        <v>3051495387469</v>
      </c>
      <c r="D40" s="1" t="str">
        <f>IF(ISBLANK(B40),"",VLOOKUP(B40,formules!E:F,2,0))</f>
        <v>Flowy pants with linen taupe</v>
      </c>
      <c r="E40" s="1">
        <f t="shared" si="2"/>
        <v>1</v>
      </c>
      <c r="F40" s="17">
        <f>IF(ISBLANK(B40),"",VLOOKUP(B40,formules!E:K,7,0))</f>
        <v>35.9</v>
      </c>
      <c r="G40" s="17">
        <f>IF(ISBLANK(B40),"",VLOOKUP(B40,formules!E:L,8,0))</f>
        <v>47.9</v>
      </c>
      <c r="H40" s="1" t="str">
        <f t="shared" si="3"/>
        <v>Size</v>
      </c>
      <c r="I40" s="1" t="s">
        <v>171</v>
      </c>
      <c r="J40" s="1">
        <f t="shared" si="4"/>
        <v>1</v>
      </c>
    </row>
    <row r="41" spans="1:10" x14ac:dyDescent="0.2">
      <c r="A41" s="1" t="str">
        <f t="shared" si="0"/>
        <v>variation</v>
      </c>
      <c r="B41" s="1" t="s">
        <v>183</v>
      </c>
      <c r="C41" s="15">
        <f t="shared" ca="1" si="1"/>
        <v>5886558496133</v>
      </c>
      <c r="D41" s="1" t="str">
        <f>IF(ISBLANK(B41),"",VLOOKUP(B41,formules!E:F,2,0))</f>
        <v>Flowy pants with linen taupe</v>
      </c>
      <c r="E41" s="1">
        <f t="shared" si="2"/>
        <v>1</v>
      </c>
      <c r="F41" s="17">
        <f>IF(ISBLANK(B41),"",VLOOKUP(B41,formules!E:K,7,0))</f>
        <v>35.9</v>
      </c>
      <c r="G41" s="17">
        <f>IF(ISBLANK(B41),"",VLOOKUP(B41,formules!E:L,8,0))</f>
        <v>47.9</v>
      </c>
      <c r="H41" s="1" t="str">
        <f t="shared" si="3"/>
        <v>Size</v>
      </c>
      <c r="I41" s="1" t="s">
        <v>172</v>
      </c>
      <c r="J41" s="1">
        <f t="shared" si="4"/>
        <v>1</v>
      </c>
    </row>
    <row r="42" spans="1:10" x14ac:dyDescent="0.2">
      <c r="A42" s="1" t="str">
        <f t="shared" si="0"/>
        <v>variation</v>
      </c>
      <c r="B42" s="1" t="s">
        <v>184</v>
      </c>
      <c r="C42" s="15">
        <f t="shared" ca="1" si="1"/>
        <v>3663858912558</v>
      </c>
      <c r="D42" s="1" t="str">
        <f>IF(ISBLANK(B42),"",VLOOKUP(B42,formules!E:F,2,0))</f>
        <v>Flowy pants with linen red</v>
      </c>
      <c r="E42" s="1">
        <f t="shared" si="2"/>
        <v>1</v>
      </c>
      <c r="F42" s="17">
        <f>IF(ISBLANK(B42),"",VLOOKUP(B42,formules!E:K,7,0))</f>
        <v>35.9</v>
      </c>
      <c r="G42" s="17">
        <f>IF(ISBLANK(B42),"",VLOOKUP(B42,formules!E:L,8,0))</f>
        <v>47.9</v>
      </c>
      <c r="H42" s="1" t="str">
        <f t="shared" si="3"/>
        <v>Size</v>
      </c>
      <c r="I42" s="1" t="s">
        <v>170</v>
      </c>
      <c r="J42" s="1">
        <f t="shared" si="4"/>
        <v>1</v>
      </c>
    </row>
    <row r="43" spans="1:10" x14ac:dyDescent="0.2">
      <c r="A43" s="1" t="str">
        <f t="shared" si="0"/>
        <v>variation</v>
      </c>
      <c r="B43" s="1" t="s">
        <v>184</v>
      </c>
      <c r="C43" s="15">
        <f t="shared" ca="1" si="1"/>
        <v>2286826416611</v>
      </c>
      <c r="D43" s="1" t="str">
        <f>IF(ISBLANK(B43),"",VLOOKUP(B43,formules!E:F,2,0))</f>
        <v>Flowy pants with linen red</v>
      </c>
      <c r="E43" s="1">
        <f t="shared" si="2"/>
        <v>1</v>
      </c>
      <c r="F43" s="17">
        <f>IF(ISBLANK(B43),"",VLOOKUP(B43,formules!E:K,7,0))</f>
        <v>35.9</v>
      </c>
      <c r="G43" s="17">
        <f>IF(ISBLANK(B43),"",VLOOKUP(B43,formules!E:L,8,0))</f>
        <v>47.9</v>
      </c>
      <c r="H43" s="1" t="str">
        <f t="shared" si="3"/>
        <v>Size</v>
      </c>
      <c r="I43" s="1" t="s">
        <v>10</v>
      </c>
      <c r="J43" s="1">
        <f t="shared" si="4"/>
        <v>1</v>
      </c>
    </row>
    <row r="44" spans="1:10" x14ac:dyDescent="0.2">
      <c r="A44" s="1" t="str">
        <f t="shared" si="0"/>
        <v>variation</v>
      </c>
      <c r="B44" s="1" t="s">
        <v>184</v>
      </c>
      <c r="C44" s="15">
        <f t="shared" ca="1" si="1"/>
        <v>5976537243000</v>
      </c>
      <c r="D44" s="1" t="str">
        <f>IF(ISBLANK(B44),"",VLOOKUP(B44,formules!E:F,2,0))</f>
        <v>Flowy pants with linen red</v>
      </c>
      <c r="E44" s="1">
        <f t="shared" si="2"/>
        <v>1</v>
      </c>
      <c r="F44" s="17">
        <f>IF(ISBLANK(B44),"",VLOOKUP(B44,formules!E:K,7,0))</f>
        <v>35.9</v>
      </c>
      <c r="G44" s="17">
        <f>IF(ISBLANK(B44),"",VLOOKUP(B44,formules!E:L,8,0))</f>
        <v>47.9</v>
      </c>
      <c r="H44" s="1" t="str">
        <f t="shared" si="3"/>
        <v>Size</v>
      </c>
      <c r="I44" s="1" t="s">
        <v>96</v>
      </c>
      <c r="J44" s="1">
        <f t="shared" si="4"/>
        <v>1</v>
      </c>
    </row>
    <row r="45" spans="1:10" x14ac:dyDescent="0.2">
      <c r="A45" s="1" t="str">
        <f t="shared" si="0"/>
        <v>variation</v>
      </c>
      <c r="B45" s="1" t="s">
        <v>184</v>
      </c>
      <c r="C45" s="15">
        <f t="shared" ca="1" si="1"/>
        <v>4313600889378</v>
      </c>
      <c r="D45" s="1" t="str">
        <f>IF(ISBLANK(B45),"",VLOOKUP(B45,formules!E:F,2,0))</f>
        <v>Flowy pants with linen red</v>
      </c>
      <c r="E45" s="1">
        <f t="shared" si="2"/>
        <v>1</v>
      </c>
      <c r="F45" s="17">
        <f>IF(ISBLANK(B45),"",VLOOKUP(B45,formules!E:K,7,0))</f>
        <v>35.9</v>
      </c>
      <c r="G45" s="17">
        <f>IF(ISBLANK(B45),"",VLOOKUP(B45,formules!E:L,8,0))</f>
        <v>47.9</v>
      </c>
      <c r="H45" s="1" t="str">
        <f t="shared" si="3"/>
        <v>Size</v>
      </c>
      <c r="I45" s="1" t="s">
        <v>171</v>
      </c>
      <c r="J45" s="1">
        <f t="shared" si="4"/>
        <v>1</v>
      </c>
    </row>
    <row r="46" spans="1:10" x14ac:dyDescent="0.2">
      <c r="A46" s="1" t="str">
        <f t="shared" si="0"/>
        <v>variation</v>
      </c>
      <c r="B46" s="1" t="s">
        <v>184</v>
      </c>
      <c r="C46" s="15">
        <f t="shared" ca="1" si="1"/>
        <v>9277896170925</v>
      </c>
      <c r="D46" s="1" t="str">
        <f>IF(ISBLANK(B46),"",VLOOKUP(B46,formules!E:F,2,0))</f>
        <v>Flowy pants with linen red</v>
      </c>
      <c r="E46" s="1">
        <f t="shared" si="2"/>
        <v>1</v>
      </c>
      <c r="F46" s="17">
        <f>IF(ISBLANK(B46),"",VLOOKUP(B46,formules!E:K,7,0))</f>
        <v>35.9</v>
      </c>
      <c r="G46" s="17">
        <f>IF(ISBLANK(B46),"",VLOOKUP(B46,formules!E:L,8,0))</f>
        <v>47.9</v>
      </c>
      <c r="H46" s="1" t="str">
        <f t="shared" si="3"/>
        <v>Size</v>
      </c>
      <c r="I46" s="1" t="s">
        <v>172</v>
      </c>
      <c r="J46" s="1">
        <f t="shared" si="4"/>
        <v>1</v>
      </c>
    </row>
    <row r="47" spans="1:10" x14ac:dyDescent="0.2">
      <c r="A47" s="1" t="str">
        <f t="shared" si="0"/>
        <v>variation</v>
      </c>
      <c r="B47" s="1" t="s">
        <v>185</v>
      </c>
      <c r="C47" s="15">
        <f t="shared" ca="1" si="1"/>
        <v>6670999255277</v>
      </c>
      <c r="D47" s="1" t="str">
        <f>IF(ISBLANK(B47),"",VLOOKUP(B47,formules!E:F,2,0))</f>
        <v>Flowy pants with linen pink</v>
      </c>
      <c r="E47" s="1">
        <f t="shared" si="2"/>
        <v>1</v>
      </c>
      <c r="F47" s="17">
        <f>IF(ISBLANK(B47),"",VLOOKUP(B47,formules!E:K,7,0))</f>
        <v>35.9</v>
      </c>
      <c r="G47" s="17">
        <f>IF(ISBLANK(B47),"",VLOOKUP(B47,formules!E:L,8,0))</f>
        <v>47.9</v>
      </c>
      <c r="H47" s="1" t="str">
        <f t="shared" si="3"/>
        <v>Size</v>
      </c>
      <c r="I47" s="1" t="s">
        <v>170</v>
      </c>
      <c r="J47" s="1">
        <f t="shared" si="4"/>
        <v>1</v>
      </c>
    </row>
    <row r="48" spans="1:10" x14ac:dyDescent="0.2">
      <c r="A48" s="1" t="str">
        <f t="shared" si="0"/>
        <v>variation</v>
      </c>
      <c r="B48" s="1" t="s">
        <v>185</v>
      </c>
      <c r="C48" s="15">
        <f t="shared" ca="1" si="1"/>
        <v>8056872287666</v>
      </c>
      <c r="D48" s="1" t="str">
        <f>IF(ISBLANK(B48),"",VLOOKUP(B48,formules!E:F,2,0))</f>
        <v>Flowy pants with linen pink</v>
      </c>
      <c r="E48" s="1">
        <f t="shared" si="2"/>
        <v>1</v>
      </c>
      <c r="F48" s="17">
        <f>IF(ISBLANK(B48),"",VLOOKUP(B48,formules!E:K,7,0))</f>
        <v>35.9</v>
      </c>
      <c r="G48" s="17">
        <f>IF(ISBLANK(B48),"",VLOOKUP(B48,formules!E:L,8,0))</f>
        <v>47.9</v>
      </c>
      <c r="H48" s="1" t="str">
        <f t="shared" si="3"/>
        <v>Size</v>
      </c>
      <c r="I48" s="1" t="s">
        <v>10</v>
      </c>
      <c r="J48" s="1">
        <f t="shared" si="4"/>
        <v>1</v>
      </c>
    </row>
    <row r="49" spans="1:10" x14ac:dyDescent="0.2">
      <c r="A49" s="1" t="str">
        <f t="shared" si="0"/>
        <v>variation</v>
      </c>
      <c r="B49" s="1" t="s">
        <v>185</v>
      </c>
      <c r="C49" s="15">
        <f t="shared" ca="1" si="1"/>
        <v>7643923178404</v>
      </c>
      <c r="D49" s="1" t="str">
        <f>IF(ISBLANK(B49),"",VLOOKUP(B49,formules!E:F,2,0))</f>
        <v>Flowy pants with linen pink</v>
      </c>
      <c r="E49" s="1">
        <f t="shared" si="2"/>
        <v>1</v>
      </c>
      <c r="F49" s="17">
        <f>IF(ISBLANK(B49),"",VLOOKUP(B49,formules!E:K,7,0))</f>
        <v>35.9</v>
      </c>
      <c r="G49" s="17">
        <f>IF(ISBLANK(B49),"",VLOOKUP(B49,formules!E:L,8,0))</f>
        <v>47.9</v>
      </c>
      <c r="H49" s="1" t="str">
        <f t="shared" si="3"/>
        <v>Size</v>
      </c>
      <c r="I49" s="1" t="s">
        <v>96</v>
      </c>
      <c r="J49" s="1">
        <f t="shared" si="4"/>
        <v>1</v>
      </c>
    </row>
    <row r="50" spans="1:10" x14ac:dyDescent="0.2">
      <c r="A50" s="1" t="str">
        <f t="shared" si="0"/>
        <v>variation</v>
      </c>
      <c r="B50" s="1" t="s">
        <v>185</v>
      </c>
      <c r="C50" s="15">
        <f t="shared" ca="1" si="1"/>
        <v>7163910830891</v>
      </c>
      <c r="D50" s="1" t="str">
        <f>IF(ISBLANK(B50),"",VLOOKUP(B50,formules!E:F,2,0))</f>
        <v>Flowy pants with linen pink</v>
      </c>
      <c r="E50" s="1">
        <f t="shared" si="2"/>
        <v>1</v>
      </c>
      <c r="F50" s="17">
        <f>IF(ISBLANK(B50),"",VLOOKUP(B50,formules!E:K,7,0))</f>
        <v>35.9</v>
      </c>
      <c r="G50" s="17">
        <f>IF(ISBLANK(B50),"",VLOOKUP(B50,formules!E:L,8,0))</f>
        <v>47.9</v>
      </c>
      <c r="H50" s="1" t="str">
        <f t="shared" si="3"/>
        <v>Size</v>
      </c>
      <c r="I50" s="1" t="s">
        <v>171</v>
      </c>
      <c r="J50" s="1">
        <f t="shared" si="4"/>
        <v>1</v>
      </c>
    </row>
    <row r="51" spans="1:10" x14ac:dyDescent="0.2">
      <c r="A51" s="1" t="str">
        <f t="shared" si="0"/>
        <v>variation</v>
      </c>
      <c r="B51" s="1" t="s">
        <v>185</v>
      </c>
      <c r="C51" s="15">
        <f t="shared" ca="1" si="1"/>
        <v>7033428711742</v>
      </c>
      <c r="D51" s="1" t="str">
        <f>IF(ISBLANK(B51),"",VLOOKUP(B51,formules!E:F,2,0))</f>
        <v>Flowy pants with linen pink</v>
      </c>
      <c r="E51" s="1">
        <f t="shared" si="2"/>
        <v>1</v>
      </c>
      <c r="F51" s="17">
        <f>IF(ISBLANK(B51),"",VLOOKUP(B51,formules!E:K,7,0))</f>
        <v>35.9</v>
      </c>
      <c r="G51" s="17">
        <f>IF(ISBLANK(B51),"",VLOOKUP(B51,formules!E:L,8,0))</f>
        <v>47.9</v>
      </c>
      <c r="H51" s="1" t="str">
        <f t="shared" si="3"/>
        <v>Size</v>
      </c>
      <c r="I51" s="1" t="s">
        <v>172</v>
      </c>
      <c r="J51" s="1">
        <f t="shared" si="4"/>
        <v>1</v>
      </c>
    </row>
    <row r="52" spans="1:10" x14ac:dyDescent="0.2">
      <c r="A52" s="1" t="str">
        <f t="shared" si="0"/>
        <v>variation</v>
      </c>
      <c r="B52" s="1" t="s">
        <v>175</v>
      </c>
      <c r="C52" s="15">
        <f t="shared" ca="1" si="1"/>
        <v>6984468449445</v>
      </c>
      <c r="D52" s="1" t="str">
        <f>IF(ISBLANK(B52),"",VLOOKUP(B52,formules!E:F,2,0))</f>
        <v>Rustic Oversized Shirt grey/blue</v>
      </c>
      <c r="E52" s="1">
        <f t="shared" si="2"/>
        <v>1</v>
      </c>
      <c r="F52" s="17">
        <f>IF(ISBLANK(B52),"",VLOOKUP(B52,formules!E:K,7,0))</f>
        <v>25.9</v>
      </c>
      <c r="G52" s="17">
        <f>IF(ISBLANK(B52),"",VLOOKUP(B52,formules!E:L,8,0))</f>
        <v>39.9</v>
      </c>
      <c r="H52" s="1" t="str">
        <f t="shared" si="3"/>
        <v>Size</v>
      </c>
      <c r="I52" s="1" t="s">
        <v>170</v>
      </c>
      <c r="J52" s="1">
        <f t="shared" si="4"/>
        <v>1</v>
      </c>
    </row>
    <row r="53" spans="1:10" x14ac:dyDescent="0.2">
      <c r="A53" s="1" t="str">
        <f t="shared" si="0"/>
        <v>variation</v>
      </c>
      <c r="B53" s="1" t="s">
        <v>175</v>
      </c>
      <c r="C53" s="15">
        <f t="shared" ca="1" si="1"/>
        <v>4505711650656</v>
      </c>
      <c r="D53" s="1" t="str">
        <f>IF(ISBLANK(B53),"",VLOOKUP(B53,formules!E:F,2,0))</f>
        <v>Rustic Oversized Shirt grey/blue</v>
      </c>
      <c r="E53" s="1">
        <f t="shared" si="2"/>
        <v>1</v>
      </c>
      <c r="F53" s="17">
        <f>IF(ISBLANK(B53),"",VLOOKUP(B53,formules!E:K,7,0))</f>
        <v>25.9</v>
      </c>
      <c r="G53" s="17">
        <f>IF(ISBLANK(B53),"",VLOOKUP(B53,formules!E:L,8,0))</f>
        <v>39.9</v>
      </c>
      <c r="H53" s="1" t="str">
        <f t="shared" si="3"/>
        <v>Size</v>
      </c>
      <c r="I53" s="1" t="s">
        <v>10</v>
      </c>
      <c r="J53" s="1">
        <f t="shared" si="4"/>
        <v>1</v>
      </c>
    </row>
    <row r="54" spans="1:10" x14ac:dyDescent="0.2">
      <c r="A54" s="1" t="str">
        <f t="shared" si="0"/>
        <v>variation</v>
      </c>
      <c r="B54" s="1" t="s">
        <v>175</v>
      </c>
      <c r="C54" s="15">
        <f t="shared" ca="1" si="1"/>
        <v>4724686103190</v>
      </c>
      <c r="D54" s="1" t="str">
        <f>IF(ISBLANK(B54),"",VLOOKUP(B54,formules!E:F,2,0))</f>
        <v>Rustic Oversized Shirt grey/blue</v>
      </c>
      <c r="E54" s="1">
        <f t="shared" si="2"/>
        <v>1</v>
      </c>
      <c r="F54" s="17">
        <f>IF(ISBLANK(B54),"",VLOOKUP(B54,formules!E:K,7,0))</f>
        <v>25.9</v>
      </c>
      <c r="G54" s="17">
        <f>IF(ISBLANK(B54),"",VLOOKUP(B54,formules!E:L,8,0))</f>
        <v>39.9</v>
      </c>
      <c r="H54" s="1" t="str">
        <f t="shared" si="3"/>
        <v>Size</v>
      </c>
      <c r="I54" s="1" t="s">
        <v>96</v>
      </c>
      <c r="J54" s="1">
        <f t="shared" si="4"/>
        <v>1</v>
      </c>
    </row>
    <row r="55" spans="1:10" x14ac:dyDescent="0.2">
      <c r="A55" s="1" t="str">
        <f t="shared" si="0"/>
        <v>variation</v>
      </c>
      <c r="B55" s="1" t="s">
        <v>175</v>
      </c>
      <c r="C55" s="15">
        <f t="shared" ca="1" si="1"/>
        <v>5179791752599</v>
      </c>
      <c r="D55" s="1" t="str">
        <f>IF(ISBLANK(B55),"",VLOOKUP(B55,formules!E:F,2,0))</f>
        <v>Rustic Oversized Shirt grey/blue</v>
      </c>
      <c r="E55" s="1">
        <f t="shared" si="2"/>
        <v>1</v>
      </c>
      <c r="F55" s="17">
        <f>IF(ISBLANK(B55),"",VLOOKUP(B55,formules!E:K,7,0))</f>
        <v>25.9</v>
      </c>
      <c r="G55" s="17">
        <f>IF(ISBLANK(B55),"",VLOOKUP(B55,formules!E:L,8,0))</f>
        <v>39.9</v>
      </c>
      <c r="H55" s="1" t="str">
        <f t="shared" si="3"/>
        <v>Size</v>
      </c>
      <c r="I55" s="1" t="s">
        <v>171</v>
      </c>
      <c r="J55" s="1">
        <f t="shared" si="4"/>
        <v>1</v>
      </c>
    </row>
    <row r="56" spans="1:10" x14ac:dyDescent="0.2">
      <c r="A56" s="1" t="str">
        <f t="shared" si="0"/>
        <v>variation</v>
      </c>
      <c r="B56" s="1" t="s">
        <v>175</v>
      </c>
      <c r="C56" s="15">
        <f t="shared" ca="1" si="1"/>
        <v>7853605003664</v>
      </c>
      <c r="D56" s="1" t="str">
        <f>IF(ISBLANK(B56),"",VLOOKUP(B56,formules!E:F,2,0))</f>
        <v>Rustic Oversized Shirt grey/blue</v>
      </c>
      <c r="E56" s="1">
        <f t="shared" si="2"/>
        <v>1</v>
      </c>
      <c r="F56" s="17">
        <f>IF(ISBLANK(B56),"",VLOOKUP(B56,formules!E:K,7,0))</f>
        <v>25.9</v>
      </c>
      <c r="G56" s="17">
        <f>IF(ISBLANK(B56),"",VLOOKUP(B56,formules!E:L,8,0))</f>
        <v>39.9</v>
      </c>
      <c r="H56" s="1" t="str">
        <f t="shared" si="3"/>
        <v>Size</v>
      </c>
      <c r="I56" s="1" t="s">
        <v>172</v>
      </c>
      <c r="J56" s="1">
        <f t="shared" si="4"/>
        <v>1</v>
      </c>
    </row>
    <row r="57" spans="1:10" x14ac:dyDescent="0.2">
      <c r="A57" s="1" t="str">
        <f t="shared" si="0"/>
        <v>variation</v>
      </c>
      <c r="B57" s="1" t="s">
        <v>174</v>
      </c>
      <c r="C57" s="15">
        <f t="shared" ca="1" si="1"/>
        <v>9385276047586</v>
      </c>
      <c r="D57" s="1" t="str">
        <f>IF(ISBLANK(B57),"",VLOOKUP(B57,formules!E:F,2,0))</f>
        <v>Rustic Oversized Shirt pink</v>
      </c>
      <c r="E57" s="1">
        <f t="shared" si="2"/>
        <v>1</v>
      </c>
      <c r="F57" s="17">
        <f>IF(ISBLANK(B57),"",VLOOKUP(B57,formules!E:K,7,0))</f>
        <v>25.9</v>
      </c>
      <c r="G57" s="17">
        <f>IF(ISBLANK(B57),"",VLOOKUP(B57,formules!E:L,8,0))</f>
        <v>39.9</v>
      </c>
      <c r="H57" s="1" t="str">
        <f t="shared" si="3"/>
        <v>Size</v>
      </c>
      <c r="I57" s="1" t="s">
        <v>170</v>
      </c>
      <c r="J57" s="1">
        <f t="shared" si="4"/>
        <v>1</v>
      </c>
    </row>
    <row r="58" spans="1:10" x14ac:dyDescent="0.2">
      <c r="A58" s="1" t="str">
        <f t="shared" si="0"/>
        <v>variation</v>
      </c>
      <c r="B58" s="1" t="s">
        <v>174</v>
      </c>
      <c r="C58" s="15">
        <f t="shared" ca="1" si="1"/>
        <v>5543958908220</v>
      </c>
      <c r="D58" s="1" t="str">
        <f>IF(ISBLANK(B58),"",VLOOKUP(B58,formules!E:F,2,0))</f>
        <v>Rustic Oversized Shirt pink</v>
      </c>
      <c r="E58" s="1">
        <f t="shared" si="2"/>
        <v>1</v>
      </c>
      <c r="F58" s="17">
        <f>IF(ISBLANK(B58),"",VLOOKUP(B58,formules!E:K,7,0))</f>
        <v>25.9</v>
      </c>
      <c r="G58" s="17">
        <f>IF(ISBLANK(B58),"",VLOOKUP(B58,formules!E:L,8,0))</f>
        <v>39.9</v>
      </c>
      <c r="H58" s="1" t="str">
        <f t="shared" si="3"/>
        <v>Size</v>
      </c>
      <c r="I58" s="1" t="s">
        <v>10</v>
      </c>
      <c r="J58" s="1">
        <f t="shared" si="4"/>
        <v>1</v>
      </c>
    </row>
    <row r="59" spans="1:10" x14ac:dyDescent="0.2">
      <c r="A59" s="1" t="str">
        <f t="shared" si="0"/>
        <v>variation</v>
      </c>
      <c r="B59" s="1" t="s">
        <v>174</v>
      </c>
      <c r="C59" s="15">
        <f t="shared" ca="1" si="1"/>
        <v>2222420153187</v>
      </c>
      <c r="D59" s="1" t="str">
        <f>IF(ISBLANK(B59),"",VLOOKUP(B59,formules!E:F,2,0))</f>
        <v>Rustic Oversized Shirt pink</v>
      </c>
      <c r="E59" s="1">
        <f t="shared" si="2"/>
        <v>1</v>
      </c>
      <c r="F59" s="17">
        <f>IF(ISBLANK(B59),"",VLOOKUP(B59,formules!E:K,7,0))</f>
        <v>25.9</v>
      </c>
      <c r="G59" s="17">
        <f>IF(ISBLANK(B59),"",VLOOKUP(B59,formules!E:L,8,0))</f>
        <v>39.9</v>
      </c>
      <c r="H59" s="1" t="str">
        <f t="shared" si="3"/>
        <v>Size</v>
      </c>
      <c r="I59" s="1" t="s">
        <v>96</v>
      </c>
      <c r="J59" s="1">
        <f t="shared" si="4"/>
        <v>1</v>
      </c>
    </row>
    <row r="60" spans="1:10" x14ac:dyDescent="0.2">
      <c r="A60" s="1" t="str">
        <f t="shared" si="0"/>
        <v>variation</v>
      </c>
      <c r="B60" s="1" t="s">
        <v>174</v>
      </c>
      <c r="C60" s="15">
        <f t="shared" ca="1" si="1"/>
        <v>7575882531771</v>
      </c>
      <c r="D60" s="1" t="str">
        <f>IF(ISBLANK(B60),"",VLOOKUP(B60,formules!E:F,2,0))</f>
        <v>Rustic Oversized Shirt pink</v>
      </c>
      <c r="E60" s="1">
        <f t="shared" si="2"/>
        <v>1</v>
      </c>
      <c r="F60" s="17">
        <f>IF(ISBLANK(B60),"",VLOOKUP(B60,formules!E:K,7,0))</f>
        <v>25.9</v>
      </c>
      <c r="G60" s="17">
        <f>IF(ISBLANK(B60),"",VLOOKUP(B60,formules!E:L,8,0))</f>
        <v>39.9</v>
      </c>
      <c r="H60" s="1" t="str">
        <f t="shared" si="3"/>
        <v>Size</v>
      </c>
      <c r="I60" s="1" t="s">
        <v>171</v>
      </c>
      <c r="J60" s="1">
        <f t="shared" si="4"/>
        <v>1</v>
      </c>
    </row>
    <row r="61" spans="1:10" x14ac:dyDescent="0.2">
      <c r="A61" s="1" t="str">
        <f t="shared" si="0"/>
        <v>variation</v>
      </c>
      <c r="B61" s="1" t="s">
        <v>174</v>
      </c>
      <c r="C61" s="15">
        <f t="shared" ca="1" si="1"/>
        <v>3141773879923</v>
      </c>
      <c r="D61" s="1" t="str">
        <f>IF(ISBLANK(B61),"",VLOOKUP(B61,formules!E:F,2,0))</f>
        <v>Rustic Oversized Shirt pink</v>
      </c>
      <c r="E61" s="1">
        <f t="shared" si="2"/>
        <v>1</v>
      </c>
      <c r="F61" s="17">
        <f>IF(ISBLANK(B61),"",VLOOKUP(B61,formules!E:K,7,0))</f>
        <v>25.9</v>
      </c>
      <c r="G61" s="17">
        <f>IF(ISBLANK(B61),"",VLOOKUP(B61,formules!E:L,8,0))</f>
        <v>39.9</v>
      </c>
      <c r="H61" s="1" t="str">
        <f t="shared" si="3"/>
        <v>Size</v>
      </c>
      <c r="I61" s="1" t="s">
        <v>172</v>
      </c>
      <c r="J61" s="1">
        <f t="shared" si="4"/>
        <v>1</v>
      </c>
    </row>
    <row r="62" spans="1:10" x14ac:dyDescent="0.2">
      <c r="A62" s="1" t="str">
        <f t="shared" si="0"/>
        <v>variation</v>
      </c>
      <c r="B62" s="1" t="s">
        <v>173</v>
      </c>
      <c r="C62" s="15">
        <f t="shared" ca="1" si="1"/>
        <v>6904358204218</v>
      </c>
      <c r="D62" s="1" t="str">
        <f>IF(ISBLANK(B62),"",VLOOKUP(B62,formules!E:F,2,0))</f>
        <v>Rustic Oversized Shirt red</v>
      </c>
      <c r="E62" s="1">
        <f t="shared" si="2"/>
        <v>1</v>
      </c>
      <c r="F62" s="17">
        <f>IF(ISBLANK(B62),"",VLOOKUP(B62,formules!E:K,7,0))</f>
        <v>25.9</v>
      </c>
      <c r="G62" s="17">
        <f>IF(ISBLANK(B62),"",VLOOKUP(B62,formules!E:L,8,0))</f>
        <v>39.9</v>
      </c>
      <c r="H62" s="1" t="str">
        <f t="shared" si="3"/>
        <v>Size</v>
      </c>
      <c r="I62" s="1" t="s">
        <v>170</v>
      </c>
      <c r="J62" s="1">
        <f t="shared" si="4"/>
        <v>1</v>
      </c>
    </row>
    <row r="63" spans="1:10" x14ac:dyDescent="0.2">
      <c r="A63" s="1" t="str">
        <f t="shared" si="0"/>
        <v>variation</v>
      </c>
      <c r="B63" s="1" t="s">
        <v>173</v>
      </c>
      <c r="C63" s="15">
        <f t="shared" ca="1" si="1"/>
        <v>4592855526632</v>
      </c>
      <c r="D63" s="1" t="str">
        <f>IF(ISBLANK(B63),"",VLOOKUP(B63,formules!E:F,2,0))</f>
        <v>Rustic Oversized Shirt red</v>
      </c>
      <c r="E63" s="1">
        <f t="shared" si="2"/>
        <v>1</v>
      </c>
      <c r="F63" s="17">
        <f>IF(ISBLANK(B63),"",VLOOKUP(B63,formules!E:K,7,0))</f>
        <v>25.9</v>
      </c>
      <c r="G63" s="17">
        <f>IF(ISBLANK(B63),"",VLOOKUP(B63,formules!E:L,8,0))</f>
        <v>39.9</v>
      </c>
      <c r="H63" s="1" t="str">
        <f t="shared" si="3"/>
        <v>Size</v>
      </c>
      <c r="I63" s="1" t="s">
        <v>10</v>
      </c>
      <c r="J63" s="1">
        <f t="shared" si="4"/>
        <v>1</v>
      </c>
    </row>
    <row r="64" spans="1:10" x14ac:dyDescent="0.2">
      <c r="A64" s="1" t="str">
        <f t="shared" si="0"/>
        <v>variation</v>
      </c>
      <c r="B64" s="1" t="s">
        <v>173</v>
      </c>
      <c r="C64" s="15">
        <f t="shared" ca="1" si="1"/>
        <v>1941913840016</v>
      </c>
      <c r="D64" s="1" t="str">
        <f>IF(ISBLANK(B64),"",VLOOKUP(B64,formules!E:F,2,0))</f>
        <v>Rustic Oversized Shirt red</v>
      </c>
      <c r="E64" s="1">
        <f t="shared" si="2"/>
        <v>1</v>
      </c>
      <c r="F64" s="17">
        <f>IF(ISBLANK(B64),"",VLOOKUP(B64,formules!E:K,7,0))</f>
        <v>25.9</v>
      </c>
      <c r="G64" s="17">
        <f>IF(ISBLANK(B64),"",VLOOKUP(B64,formules!E:L,8,0))</f>
        <v>39.9</v>
      </c>
      <c r="H64" s="1" t="str">
        <f t="shared" si="3"/>
        <v>Size</v>
      </c>
      <c r="I64" s="1" t="s">
        <v>96</v>
      </c>
      <c r="J64" s="1">
        <f t="shared" si="4"/>
        <v>1</v>
      </c>
    </row>
    <row r="65" spans="1:10" x14ac:dyDescent="0.2">
      <c r="A65" s="1" t="str">
        <f t="shared" si="0"/>
        <v>variation</v>
      </c>
      <c r="B65" s="1" t="s">
        <v>173</v>
      </c>
      <c r="C65" s="15">
        <f t="shared" ca="1" si="1"/>
        <v>6653141875182</v>
      </c>
      <c r="D65" s="1" t="str">
        <f>IF(ISBLANK(B65),"",VLOOKUP(B65,formules!E:F,2,0))</f>
        <v>Rustic Oversized Shirt red</v>
      </c>
      <c r="E65" s="1">
        <f t="shared" si="2"/>
        <v>1</v>
      </c>
      <c r="F65" s="17">
        <f>IF(ISBLANK(B65),"",VLOOKUP(B65,formules!E:K,7,0))</f>
        <v>25.9</v>
      </c>
      <c r="G65" s="17">
        <f>IF(ISBLANK(B65),"",VLOOKUP(B65,formules!E:L,8,0))</f>
        <v>39.9</v>
      </c>
      <c r="H65" s="1" t="str">
        <f t="shared" si="3"/>
        <v>Size</v>
      </c>
      <c r="I65" s="1" t="s">
        <v>171</v>
      </c>
      <c r="J65" s="1">
        <f t="shared" si="4"/>
        <v>1</v>
      </c>
    </row>
    <row r="66" spans="1:10" x14ac:dyDescent="0.2">
      <c r="A66" s="1" t="str">
        <f t="shared" si="0"/>
        <v>variation</v>
      </c>
      <c r="B66" s="1" t="s">
        <v>173</v>
      </c>
      <c r="C66" s="15">
        <f t="shared" ca="1" si="1"/>
        <v>7053915462534</v>
      </c>
      <c r="D66" s="1" t="str">
        <f>IF(ISBLANK(B66),"",VLOOKUP(B66,formules!E:F,2,0))</f>
        <v>Rustic Oversized Shirt red</v>
      </c>
      <c r="E66" s="1">
        <f t="shared" si="2"/>
        <v>1</v>
      </c>
      <c r="F66" s="17">
        <f>IF(ISBLANK(B66),"",VLOOKUP(B66,formules!E:K,7,0))</f>
        <v>25.9</v>
      </c>
      <c r="G66" s="17">
        <f>IF(ISBLANK(B66),"",VLOOKUP(B66,formules!E:L,8,0))</f>
        <v>39.9</v>
      </c>
      <c r="H66" s="1" t="str">
        <f t="shared" si="3"/>
        <v>Size</v>
      </c>
      <c r="I66" s="1" t="s">
        <v>172</v>
      </c>
      <c r="J66" s="1">
        <f t="shared" si="4"/>
        <v>1</v>
      </c>
    </row>
    <row r="67" spans="1:10" x14ac:dyDescent="0.2">
      <c r="A67" s="1" t="str">
        <f t="shared" ref="A67:A130" si="5">IF(ISBLANK(B67),"","variation")</f>
        <v>variation</v>
      </c>
      <c r="B67" s="1" t="s">
        <v>186</v>
      </c>
      <c r="C67" s="15">
        <f t="shared" ref="C67:C130" ca="1" si="6">IF(ISBLANK(B67),"",RANDBETWEEN(1111111111111,9999999999999))</f>
        <v>7609544281623</v>
      </c>
      <c r="D67" s="1" t="str">
        <f>IF(ISBLANK(B67),"",VLOOKUP(B67,formules!E:F,2,0))</f>
        <v>Rustic Oversized Shirt brown</v>
      </c>
      <c r="E67" s="1">
        <f t="shared" ref="E67:E130" si="7">IF(ISBLANK(B67),"",1)</f>
        <v>1</v>
      </c>
      <c r="F67" s="17">
        <f>IF(ISBLANK(B67),"",VLOOKUP(B67,formules!E:K,7,0))</f>
        <v>25.9</v>
      </c>
      <c r="G67" s="17">
        <f>IF(ISBLANK(B67),"",VLOOKUP(B67,formules!E:L,8,0))</f>
        <v>39.9</v>
      </c>
      <c r="H67" s="1" t="str">
        <f t="shared" ref="H67:H130" si="8">IF(ISBLANK(B67),"","Size")</f>
        <v>Size</v>
      </c>
      <c r="I67" s="1" t="s">
        <v>170</v>
      </c>
      <c r="J67" s="1">
        <f t="shared" ref="J67:J130" si="9">IF(ISBLANK(B67),"",1)</f>
        <v>1</v>
      </c>
    </row>
    <row r="68" spans="1:10" x14ac:dyDescent="0.2">
      <c r="A68" s="1" t="str">
        <f t="shared" si="5"/>
        <v>variation</v>
      </c>
      <c r="B68" s="1" t="s">
        <v>186</v>
      </c>
      <c r="C68" s="15">
        <f t="shared" ca="1" si="6"/>
        <v>5408977881583</v>
      </c>
      <c r="D68" s="1" t="str">
        <f>IF(ISBLANK(B68),"",VLOOKUP(B68,formules!E:F,2,0))</f>
        <v>Rustic Oversized Shirt brown</v>
      </c>
      <c r="E68" s="1">
        <f t="shared" si="7"/>
        <v>1</v>
      </c>
      <c r="F68" s="17">
        <f>IF(ISBLANK(B68),"",VLOOKUP(B68,formules!E:K,7,0))</f>
        <v>25.9</v>
      </c>
      <c r="G68" s="17">
        <f>IF(ISBLANK(B68),"",VLOOKUP(B68,formules!E:L,8,0))</f>
        <v>39.9</v>
      </c>
      <c r="H68" s="1" t="str">
        <f t="shared" si="8"/>
        <v>Size</v>
      </c>
      <c r="I68" s="1" t="s">
        <v>10</v>
      </c>
      <c r="J68" s="1">
        <f t="shared" si="9"/>
        <v>1</v>
      </c>
    </row>
    <row r="69" spans="1:10" x14ac:dyDescent="0.2">
      <c r="A69" s="1" t="str">
        <f t="shared" si="5"/>
        <v>variation</v>
      </c>
      <c r="B69" s="1" t="s">
        <v>186</v>
      </c>
      <c r="C69" s="15">
        <f t="shared" ca="1" si="6"/>
        <v>1232230536007</v>
      </c>
      <c r="D69" s="1" t="str">
        <f>IF(ISBLANK(B69),"",VLOOKUP(B69,formules!E:F,2,0))</f>
        <v>Rustic Oversized Shirt brown</v>
      </c>
      <c r="E69" s="1">
        <f t="shared" si="7"/>
        <v>1</v>
      </c>
      <c r="F69" s="17">
        <f>IF(ISBLANK(B69),"",VLOOKUP(B69,formules!E:K,7,0))</f>
        <v>25.9</v>
      </c>
      <c r="G69" s="17">
        <f>IF(ISBLANK(B69),"",VLOOKUP(B69,formules!E:L,8,0))</f>
        <v>39.9</v>
      </c>
      <c r="H69" s="1" t="str">
        <f t="shared" si="8"/>
        <v>Size</v>
      </c>
      <c r="I69" s="1" t="s">
        <v>96</v>
      </c>
      <c r="J69" s="1">
        <f t="shared" si="9"/>
        <v>1</v>
      </c>
    </row>
    <row r="70" spans="1:10" x14ac:dyDescent="0.2">
      <c r="A70" s="1" t="str">
        <f t="shared" si="5"/>
        <v>variation</v>
      </c>
      <c r="B70" s="1" t="s">
        <v>186</v>
      </c>
      <c r="C70" s="15">
        <f t="shared" ca="1" si="6"/>
        <v>8837363674926</v>
      </c>
      <c r="D70" s="1" t="str">
        <f>IF(ISBLANK(B70),"",VLOOKUP(B70,formules!E:F,2,0))</f>
        <v>Rustic Oversized Shirt brown</v>
      </c>
      <c r="E70" s="1">
        <f t="shared" si="7"/>
        <v>1</v>
      </c>
      <c r="F70" s="17">
        <f>IF(ISBLANK(B70),"",VLOOKUP(B70,formules!E:K,7,0))</f>
        <v>25.9</v>
      </c>
      <c r="G70" s="17">
        <f>IF(ISBLANK(B70),"",VLOOKUP(B70,formules!E:L,8,0))</f>
        <v>39.9</v>
      </c>
      <c r="H70" s="1" t="str">
        <f t="shared" si="8"/>
        <v>Size</v>
      </c>
      <c r="I70" s="1" t="s">
        <v>171</v>
      </c>
      <c r="J70" s="1">
        <f t="shared" si="9"/>
        <v>1</v>
      </c>
    </row>
    <row r="71" spans="1:10" x14ac:dyDescent="0.2">
      <c r="A71" s="1" t="str">
        <f t="shared" si="5"/>
        <v>variation</v>
      </c>
      <c r="B71" s="1" t="s">
        <v>186</v>
      </c>
      <c r="C71" s="15">
        <f t="shared" ca="1" si="6"/>
        <v>8849385722173</v>
      </c>
      <c r="D71" s="1" t="str">
        <f>IF(ISBLANK(B71),"",VLOOKUP(B71,formules!E:F,2,0))</f>
        <v>Rustic Oversized Shirt brown</v>
      </c>
      <c r="E71" s="1">
        <f t="shared" si="7"/>
        <v>1</v>
      </c>
      <c r="F71" s="17">
        <f>IF(ISBLANK(B71),"",VLOOKUP(B71,formules!E:K,7,0))</f>
        <v>25.9</v>
      </c>
      <c r="G71" s="17">
        <f>IF(ISBLANK(B71),"",VLOOKUP(B71,formules!E:L,8,0))</f>
        <v>39.9</v>
      </c>
      <c r="H71" s="1" t="str">
        <f t="shared" si="8"/>
        <v>Size</v>
      </c>
      <c r="I71" s="1" t="s">
        <v>172</v>
      </c>
      <c r="J71" s="1">
        <f t="shared" si="9"/>
        <v>1</v>
      </c>
    </row>
    <row r="72" spans="1:10" x14ac:dyDescent="0.2">
      <c r="A72" s="1" t="str">
        <f t="shared" si="5"/>
        <v>variation</v>
      </c>
      <c r="B72" s="1" t="s">
        <v>187</v>
      </c>
      <c r="C72" s="15">
        <f t="shared" ca="1" si="6"/>
        <v>6185705952460</v>
      </c>
      <c r="D72" s="1" t="str">
        <f>IF(ISBLANK(B72),"",VLOOKUP(B72,formules!E:F,2,0))</f>
        <v>Gathered lace camisole top raspberry</v>
      </c>
      <c r="E72" s="1">
        <f t="shared" si="7"/>
        <v>1</v>
      </c>
      <c r="F72" s="17">
        <f>IF(ISBLANK(B72),"",VLOOKUP(B72,formules!E:K,7,0))</f>
        <v>27.9</v>
      </c>
      <c r="G72" s="17">
        <f>IF(ISBLANK(B72),"",VLOOKUP(B72,formules!E:L,8,0))</f>
        <v>35.9</v>
      </c>
      <c r="H72" s="1" t="str">
        <f t="shared" si="8"/>
        <v>Size</v>
      </c>
      <c r="I72" s="1" t="s">
        <v>170</v>
      </c>
      <c r="J72" s="1">
        <f t="shared" si="9"/>
        <v>1</v>
      </c>
    </row>
    <row r="73" spans="1:10" x14ac:dyDescent="0.2">
      <c r="A73" s="1" t="str">
        <f t="shared" si="5"/>
        <v>variation</v>
      </c>
      <c r="B73" s="1" t="s">
        <v>187</v>
      </c>
      <c r="C73" s="15">
        <f t="shared" ca="1" si="6"/>
        <v>8844724638215</v>
      </c>
      <c r="D73" s="1" t="str">
        <f>IF(ISBLANK(B73),"",VLOOKUP(B73,formules!E:F,2,0))</f>
        <v>Gathered lace camisole top raspberry</v>
      </c>
      <c r="E73" s="1">
        <f t="shared" si="7"/>
        <v>1</v>
      </c>
      <c r="F73" s="17">
        <f>IF(ISBLANK(B73),"",VLOOKUP(B73,formules!E:K,7,0))</f>
        <v>27.9</v>
      </c>
      <c r="G73" s="17">
        <f>IF(ISBLANK(B73),"",VLOOKUP(B73,formules!E:L,8,0))</f>
        <v>35.9</v>
      </c>
      <c r="H73" s="1" t="str">
        <f t="shared" si="8"/>
        <v>Size</v>
      </c>
      <c r="I73" s="1" t="s">
        <v>10</v>
      </c>
      <c r="J73" s="1">
        <f t="shared" si="9"/>
        <v>1</v>
      </c>
    </row>
    <row r="74" spans="1:10" x14ac:dyDescent="0.2">
      <c r="A74" s="1" t="str">
        <f t="shared" si="5"/>
        <v>variation</v>
      </c>
      <c r="B74" s="1" t="s">
        <v>187</v>
      </c>
      <c r="C74" s="15">
        <f t="shared" ca="1" si="6"/>
        <v>8322174341556</v>
      </c>
      <c r="D74" s="1" t="str">
        <f>IF(ISBLANK(B74),"",VLOOKUP(B74,formules!E:F,2,0))</f>
        <v>Gathered lace camisole top raspberry</v>
      </c>
      <c r="E74" s="1">
        <f t="shared" si="7"/>
        <v>1</v>
      </c>
      <c r="F74" s="17">
        <f>IF(ISBLANK(B74),"",VLOOKUP(B74,formules!E:K,7,0))</f>
        <v>27.9</v>
      </c>
      <c r="G74" s="17">
        <f>IF(ISBLANK(B74),"",VLOOKUP(B74,formules!E:L,8,0))</f>
        <v>35.9</v>
      </c>
      <c r="H74" s="1" t="str">
        <f t="shared" si="8"/>
        <v>Size</v>
      </c>
      <c r="I74" s="1" t="s">
        <v>96</v>
      </c>
      <c r="J74" s="1">
        <f t="shared" si="9"/>
        <v>1</v>
      </c>
    </row>
    <row r="75" spans="1:10" x14ac:dyDescent="0.2">
      <c r="A75" s="1" t="str">
        <f t="shared" si="5"/>
        <v>variation</v>
      </c>
      <c r="B75" s="1" t="s">
        <v>187</v>
      </c>
      <c r="C75" s="15">
        <f t="shared" ca="1" si="6"/>
        <v>5708631241401</v>
      </c>
      <c r="D75" s="1" t="str">
        <f>IF(ISBLANK(B75),"",VLOOKUP(B75,formules!E:F,2,0))</f>
        <v>Gathered lace camisole top raspberry</v>
      </c>
      <c r="E75" s="1">
        <f t="shared" si="7"/>
        <v>1</v>
      </c>
      <c r="F75" s="17">
        <f>IF(ISBLANK(B75),"",VLOOKUP(B75,formules!E:K,7,0))</f>
        <v>27.9</v>
      </c>
      <c r="G75" s="17">
        <f>IF(ISBLANK(B75),"",VLOOKUP(B75,formules!E:L,8,0))</f>
        <v>35.9</v>
      </c>
      <c r="H75" s="1" t="str">
        <f t="shared" si="8"/>
        <v>Size</v>
      </c>
      <c r="I75" s="1" t="s">
        <v>171</v>
      </c>
      <c r="J75" s="1">
        <f t="shared" si="9"/>
        <v>1</v>
      </c>
    </row>
    <row r="76" spans="1:10" x14ac:dyDescent="0.2">
      <c r="A76" s="1" t="str">
        <f t="shared" si="5"/>
        <v>variation</v>
      </c>
      <c r="B76" s="1" t="s">
        <v>187</v>
      </c>
      <c r="C76" s="15">
        <f t="shared" ca="1" si="6"/>
        <v>2409880472320</v>
      </c>
      <c r="D76" s="1" t="str">
        <f>IF(ISBLANK(B76),"",VLOOKUP(B76,formules!E:F,2,0))</f>
        <v>Gathered lace camisole top raspberry</v>
      </c>
      <c r="E76" s="1">
        <f t="shared" si="7"/>
        <v>1</v>
      </c>
      <c r="F76" s="17">
        <f>IF(ISBLANK(B76),"",VLOOKUP(B76,formules!E:K,7,0))</f>
        <v>27.9</v>
      </c>
      <c r="G76" s="17">
        <f>IF(ISBLANK(B76),"",VLOOKUP(B76,formules!E:L,8,0))</f>
        <v>35.9</v>
      </c>
      <c r="H76" s="1" t="str">
        <f t="shared" si="8"/>
        <v>Size</v>
      </c>
      <c r="I76" s="1" t="s">
        <v>172</v>
      </c>
      <c r="J76" s="1">
        <f t="shared" si="9"/>
        <v>1</v>
      </c>
    </row>
    <row r="77" spans="1:10" x14ac:dyDescent="0.2">
      <c r="A77" s="1" t="str">
        <f t="shared" si="5"/>
        <v>variation</v>
      </c>
      <c r="B77" s="1" t="s">
        <v>188</v>
      </c>
      <c r="C77" s="15">
        <f t="shared" ca="1" si="6"/>
        <v>6933417499652</v>
      </c>
      <c r="D77" s="1" t="str">
        <f>IF(ISBLANK(B77),"",VLOOKUP(B77,formules!E:F,2,0))</f>
        <v>T-shirt with cowboy and heart graphic faded blue</v>
      </c>
      <c r="E77" s="1">
        <f t="shared" si="7"/>
        <v>1</v>
      </c>
      <c r="F77" s="17">
        <f>IF(ISBLANK(B77),"",VLOOKUP(B77,formules!E:K,7,0))</f>
        <v>35.9</v>
      </c>
      <c r="G77" s="17">
        <f>IF(ISBLANK(B77),"",VLOOKUP(B77,formules!E:L,8,0))</f>
        <v>47.9</v>
      </c>
      <c r="H77" s="1" t="str">
        <f t="shared" si="8"/>
        <v>Size</v>
      </c>
      <c r="I77" s="1" t="s">
        <v>170</v>
      </c>
      <c r="J77" s="1">
        <f t="shared" si="9"/>
        <v>1</v>
      </c>
    </row>
    <row r="78" spans="1:10" x14ac:dyDescent="0.2">
      <c r="A78" s="1" t="str">
        <f t="shared" si="5"/>
        <v>variation</v>
      </c>
      <c r="B78" s="1" t="s">
        <v>188</v>
      </c>
      <c r="C78" s="15">
        <f t="shared" ca="1" si="6"/>
        <v>2850513164640</v>
      </c>
      <c r="D78" s="1" t="str">
        <f>IF(ISBLANK(B78),"",VLOOKUP(B78,formules!E:F,2,0))</f>
        <v>T-shirt with cowboy and heart graphic faded blue</v>
      </c>
      <c r="E78" s="1">
        <f t="shared" si="7"/>
        <v>1</v>
      </c>
      <c r="F78" s="17">
        <f>IF(ISBLANK(B78),"",VLOOKUP(B78,formules!E:K,7,0))</f>
        <v>35.9</v>
      </c>
      <c r="G78" s="17">
        <f>IF(ISBLANK(B78),"",VLOOKUP(B78,formules!E:L,8,0))</f>
        <v>47.9</v>
      </c>
      <c r="H78" s="1" t="str">
        <f t="shared" si="8"/>
        <v>Size</v>
      </c>
      <c r="I78" s="1" t="s">
        <v>10</v>
      </c>
      <c r="J78" s="1">
        <f t="shared" si="9"/>
        <v>1</v>
      </c>
    </row>
    <row r="79" spans="1:10" x14ac:dyDescent="0.2">
      <c r="A79" s="1" t="str">
        <f t="shared" si="5"/>
        <v>variation</v>
      </c>
      <c r="B79" s="1" t="s">
        <v>188</v>
      </c>
      <c r="C79" s="15">
        <f t="shared" ca="1" si="6"/>
        <v>8199871791726</v>
      </c>
      <c r="D79" s="1" t="str">
        <f>IF(ISBLANK(B79),"",VLOOKUP(B79,formules!E:F,2,0))</f>
        <v>T-shirt with cowboy and heart graphic faded blue</v>
      </c>
      <c r="E79" s="1">
        <f t="shared" si="7"/>
        <v>1</v>
      </c>
      <c r="F79" s="17">
        <f>IF(ISBLANK(B79),"",VLOOKUP(B79,formules!E:K,7,0))</f>
        <v>35.9</v>
      </c>
      <c r="G79" s="17">
        <f>IF(ISBLANK(B79),"",VLOOKUP(B79,formules!E:L,8,0))</f>
        <v>47.9</v>
      </c>
      <c r="H79" s="1" t="str">
        <f t="shared" si="8"/>
        <v>Size</v>
      </c>
      <c r="I79" s="1" t="s">
        <v>96</v>
      </c>
      <c r="J79" s="1">
        <f t="shared" si="9"/>
        <v>1</v>
      </c>
    </row>
    <row r="80" spans="1:10" x14ac:dyDescent="0.2">
      <c r="A80" s="1" t="str">
        <f t="shared" si="5"/>
        <v>variation</v>
      </c>
      <c r="B80" s="1" t="s">
        <v>188</v>
      </c>
      <c r="C80" s="15">
        <f t="shared" ca="1" si="6"/>
        <v>6105167236926</v>
      </c>
      <c r="D80" s="1" t="str">
        <f>IF(ISBLANK(B80),"",VLOOKUP(B80,formules!E:F,2,0))</f>
        <v>T-shirt with cowboy and heart graphic faded blue</v>
      </c>
      <c r="E80" s="1">
        <f t="shared" si="7"/>
        <v>1</v>
      </c>
      <c r="F80" s="17">
        <f>IF(ISBLANK(B80),"",VLOOKUP(B80,formules!E:K,7,0))</f>
        <v>35.9</v>
      </c>
      <c r="G80" s="17">
        <f>IF(ISBLANK(B80),"",VLOOKUP(B80,formules!E:L,8,0))</f>
        <v>47.9</v>
      </c>
      <c r="H80" s="1" t="str">
        <f t="shared" si="8"/>
        <v>Size</v>
      </c>
      <c r="I80" s="1" t="s">
        <v>171</v>
      </c>
      <c r="J80" s="1">
        <f t="shared" si="9"/>
        <v>1</v>
      </c>
    </row>
    <row r="81" spans="1:10" x14ac:dyDescent="0.2">
      <c r="A81" s="1" t="str">
        <f t="shared" si="5"/>
        <v>variation</v>
      </c>
      <c r="B81" s="1" t="s">
        <v>188</v>
      </c>
      <c r="C81" s="15">
        <f t="shared" ca="1" si="6"/>
        <v>2721663604305</v>
      </c>
      <c r="D81" s="1" t="str">
        <f>IF(ISBLANK(B81),"",VLOOKUP(B81,formules!E:F,2,0))</f>
        <v>T-shirt with cowboy and heart graphic faded blue</v>
      </c>
      <c r="E81" s="1">
        <f t="shared" si="7"/>
        <v>1</v>
      </c>
      <c r="F81" s="17">
        <f>IF(ISBLANK(B81),"",VLOOKUP(B81,formules!E:K,7,0))</f>
        <v>35.9</v>
      </c>
      <c r="G81" s="17">
        <f>IF(ISBLANK(B81),"",VLOOKUP(B81,formules!E:L,8,0))</f>
        <v>47.9</v>
      </c>
      <c r="H81" s="1" t="str">
        <f t="shared" si="8"/>
        <v>Size</v>
      </c>
      <c r="I81" s="1" t="s">
        <v>172</v>
      </c>
      <c r="J81" s="1">
        <f t="shared" si="9"/>
        <v>1</v>
      </c>
    </row>
    <row r="82" spans="1:10" x14ac:dyDescent="0.2">
      <c r="A82" s="1" t="str">
        <f t="shared" si="5"/>
        <v>variation</v>
      </c>
      <c r="B82" s="1" t="s">
        <v>189</v>
      </c>
      <c r="C82" s="15">
        <f t="shared" ca="1" si="6"/>
        <v>3843566643554</v>
      </c>
      <c r="D82" s="1" t="str">
        <f>IF(ISBLANK(B82),"",VLOOKUP(B82,formules!E:F,2,0))</f>
        <v>Printed tulle halter top print</v>
      </c>
      <c r="E82" s="1">
        <f t="shared" si="7"/>
        <v>1</v>
      </c>
      <c r="F82" s="17">
        <f>IF(ISBLANK(B82),"",VLOOKUP(B82,formules!E:K,7,0))</f>
        <v>29.9</v>
      </c>
      <c r="G82" s="17">
        <f>IF(ISBLANK(B82),"",VLOOKUP(B82,formules!E:L,8,0))</f>
        <v>39.9</v>
      </c>
      <c r="H82" s="1" t="str">
        <f t="shared" si="8"/>
        <v>Size</v>
      </c>
      <c r="I82" s="1" t="s">
        <v>170</v>
      </c>
      <c r="J82" s="1">
        <f t="shared" si="9"/>
        <v>1</v>
      </c>
    </row>
    <row r="83" spans="1:10" x14ac:dyDescent="0.2">
      <c r="A83" s="1" t="str">
        <f t="shared" si="5"/>
        <v>variation</v>
      </c>
      <c r="B83" s="1" t="s">
        <v>189</v>
      </c>
      <c r="C83" s="15">
        <f t="shared" ca="1" si="6"/>
        <v>7953446786257</v>
      </c>
      <c r="D83" s="1" t="str">
        <f>IF(ISBLANK(B83),"",VLOOKUP(B83,formules!E:F,2,0))</f>
        <v>Printed tulle halter top print</v>
      </c>
      <c r="E83" s="1">
        <f t="shared" si="7"/>
        <v>1</v>
      </c>
      <c r="F83" s="17">
        <f>IF(ISBLANK(B83),"",VLOOKUP(B83,formules!E:K,7,0))</f>
        <v>29.9</v>
      </c>
      <c r="G83" s="17">
        <f>IF(ISBLANK(B83),"",VLOOKUP(B83,formules!E:L,8,0))</f>
        <v>39.9</v>
      </c>
      <c r="H83" s="1" t="str">
        <f t="shared" si="8"/>
        <v>Size</v>
      </c>
      <c r="I83" s="1" t="s">
        <v>10</v>
      </c>
      <c r="J83" s="1">
        <f t="shared" si="9"/>
        <v>1</v>
      </c>
    </row>
    <row r="84" spans="1:10" x14ac:dyDescent="0.2">
      <c r="A84" s="1" t="str">
        <f t="shared" si="5"/>
        <v>variation</v>
      </c>
      <c r="B84" s="1" t="s">
        <v>189</v>
      </c>
      <c r="C84" s="15">
        <f t="shared" ca="1" si="6"/>
        <v>3084081420401</v>
      </c>
      <c r="D84" s="1" t="str">
        <f>IF(ISBLANK(B84),"",VLOOKUP(B84,formules!E:F,2,0))</f>
        <v>Printed tulle halter top print</v>
      </c>
      <c r="E84" s="1">
        <f t="shared" si="7"/>
        <v>1</v>
      </c>
      <c r="F84" s="17">
        <f>IF(ISBLANK(B84),"",VLOOKUP(B84,formules!E:K,7,0))</f>
        <v>29.9</v>
      </c>
      <c r="G84" s="17">
        <f>IF(ISBLANK(B84),"",VLOOKUP(B84,formules!E:L,8,0))</f>
        <v>39.9</v>
      </c>
      <c r="H84" s="1" t="str">
        <f t="shared" si="8"/>
        <v>Size</v>
      </c>
      <c r="I84" s="1" t="s">
        <v>96</v>
      </c>
      <c r="J84" s="1">
        <f t="shared" si="9"/>
        <v>1</v>
      </c>
    </row>
    <row r="85" spans="1:10" x14ac:dyDescent="0.2">
      <c r="A85" s="1" t="str">
        <f t="shared" si="5"/>
        <v>variation</v>
      </c>
      <c r="B85" s="1" t="s">
        <v>189</v>
      </c>
      <c r="C85" s="15">
        <f t="shared" ca="1" si="6"/>
        <v>1174991612874</v>
      </c>
      <c r="D85" s="1" t="str">
        <f>IF(ISBLANK(B85),"",VLOOKUP(B85,formules!E:F,2,0))</f>
        <v>Printed tulle halter top print</v>
      </c>
      <c r="E85" s="1">
        <f t="shared" si="7"/>
        <v>1</v>
      </c>
      <c r="F85" s="17">
        <f>IF(ISBLANK(B85),"",VLOOKUP(B85,formules!E:K,7,0))</f>
        <v>29.9</v>
      </c>
      <c r="G85" s="17">
        <f>IF(ISBLANK(B85),"",VLOOKUP(B85,formules!E:L,8,0))</f>
        <v>39.9</v>
      </c>
      <c r="H85" s="1" t="str">
        <f t="shared" si="8"/>
        <v>Size</v>
      </c>
      <c r="I85" s="1" t="s">
        <v>171</v>
      </c>
      <c r="J85" s="1">
        <f t="shared" si="9"/>
        <v>1</v>
      </c>
    </row>
    <row r="86" spans="1:10" x14ac:dyDescent="0.2">
      <c r="A86" s="1" t="str">
        <f t="shared" si="5"/>
        <v>variation</v>
      </c>
      <c r="B86" s="1" t="s">
        <v>189</v>
      </c>
      <c r="C86" s="15">
        <f t="shared" ca="1" si="6"/>
        <v>8225249615389</v>
      </c>
      <c r="D86" s="1" t="str">
        <f>IF(ISBLANK(B86),"",VLOOKUP(B86,formules!E:F,2,0))</f>
        <v>Printed tulle halter top print</v>
      </c>
      <c r="E86" s="1">
        <f t="shared" si="7"/>
        <v>1</v>
      </c>
      <c r="F86" s="17">
        <f>IF(ISBLANK(B86),"",VLOOKUP(B86,formules!E:K,7,0))</f>
        <v>29.9</v>
      </c>
      <c r="G86" s="17">
        <f>IF(ISBLANK(B86),"",VLOOKUP(B86,formules!E:L,8,0))</f>
        <v>39.9</v>
      </c>
      <c r="H86" s="1" t="str">
        <f t="shared" si="8"/>
        <v>Size</v>
      </c>
      <c r="I86" s="1" t="s">
        <v>172</v>
      </c>
      <c r="J86" s="1">
        <f t="shared" si="9"/>
        <v>1</v>
      </c>
    </row>
    <row r="87" spans="1:10" x14ac:dyDescent="0.2">
      <c r="A87" s="1" t="str">
        <f t="shared" si="5"/>
        <v>variation</v>
      </c>
      <c r="B87" s="1" t="s">
        <v>190</v>
      </c>
      <c r="C87" s="15">
        <f t="shared" ca="1" si="6"/>
        <v>2648306818010</v>
      </c>
      <c r="D87" s="1" t="str">
        <f>IF(ISBLANK(B87),"",VLOOKUP(B87,formules!E:F,2,0))</f>
        <v>Printed tulle halter top zebra</v>
      </c>
      <c r="E87" s="1">
        <f t="shared" si="7"/>
        <v>1</v>
      </c>
      <c r="F87" s="17">
        <f>IF(ISBLANK(B87),"",VLOOKUP(B87,formules!E:K,7,0))</f>
        <v>29.9</v>
      </c>
      <c r="G87" s="17">
        <f>IF(ISBLANK(B87),"",VLOOKUP(B87,formules!E:L,8,0))</f>
        <v>39.9</v>
      </c>
      <c r="H87" s="1" t="str">
        <f t="shared" si="8"/>
        <v>Size</v>
      </c>
      <c r="I87" s="1" t="s">
        <v>170</v>
      </c>
      <c r="J87" s="1">
        <f t="shared" si="9"/>
        <v>1</v>
      </c>
    </row>
    <row r="88" spans="1:10" x14ac:dyDescent="0.2">
      <c r="A88" s="1" t="str">
        <f t="shared" si="5"/>
        <v>variation</v>
      </c>
      <c r="B88" s="1" t="s">
        <v>190</v>
      </c>
      <c r="C88" s="15">
        <f t="shared" ca="1" si="6"/>
        <v>9871082676219</v>
      </c>
      <c r="D88" s="1" t="str">
        <f>IF(ISBLANK(B88),"",VLOOKUP(B88,formules!E:F,2,0))</f>
        <v>Printed tulle halter top zebra</v>
      </c>
      <c r="E88" s="1">
        <f t="shared" si="7"/>
        <v>1</v>
      </c>
      <c r="F88" s="17">
        <f>IF(ISBLANK(B88),"",VLOOKUP(B88,formules!E:K,7,0))</f>
        <v>29.9</v>
      </c>
      <c r="G88" s="17">
        <f>IF(ISBLANK(B88),"",VLOOKUP(B88,formules!E:L,8,0))</f>
        <v>39.9</v>
      </c>
      <c r="H88" s="1" t="str">
        <f t="shared" si="8"/>
        <v>Size</v>
      </c>
      <c r="I88" s="1" t="s">
        <v>10</v>
      </c>
      <c r="J88" s="1">
        <f t="shared" si="9"/>
        <v>1</v>
      </c>
    </row>
    <row r="89" spans="1:10" x14ac:dyDescent="0.2">
      <c r="A89" s="1" t="str">
        <f t="shared" si="5"/>
        <v>variation</v>
      </c>
      <c r="B89" s="1" t="s">
        <v>190</v>
      </c>
      <c r="C89" s="15">
        <f t="shared" ca="1" si="6"/>
        <v>1293973924780</v>
      </c>
      <c r="D89" s="1" t="str">
        <f>IF(ISBLANK(B89),"",VLOOKUP(B89,formules!E:F,2,0))</f>
        <v>Printed tulle halter top zebra</v>
      </c>
      <c r="E89" s="1">
        <f t="shared" si="7"/>
        <v>1</v>
      </c>
      <c r="F89" s="17">
        <f>IF(ISBLANK(B89),"",VLOOKUP(B89,formules!E:K,7,0))</f>
        <v>29.9</v>
      </c>
      <c r="G89" s="17">
        <f>IF(ISBLANK(B89),"",VLOOKUP(B89,formules!E:L,8,0))</f>
        <v>39.9</v>
      </c>
      <c r="H89" s="1" t="str">
        <f t="shared" si="8"/>
        <v>Size</v>
      </c>
      <c r="I89" s="1" t="s">
        <v>96</v>
      </c>
      <c r="J89" s="1">
        <f t="shared" si="9"/>
        <v>1</v>
      </c>
    </row>
    <row r="90" spans="1:10" x14ac:dyDescent="0.2">
      <c r="A90" s="1" t="str">
        <f t="shared" si="5"/>
        <v>variation</v>
      </c>
      <c r="B90" s="1" t="s">
        <v>190</v>
      </c>
      <c r="C90" s="15">
        <f t="shared" ca="1" si="6"/>
        <v>8020315527347</v>
      </c>
      <c r="D90" s="1" t="str">
        <f>IF(ISBLANK(B90),"",VLOOKUP(B90,formules!E:F,2,0))</f>
        <v>Printed tulle halter top zebra</v>
      </c>
      <c r="E90" s="1">
        <f t="shared" si="7"/>
        <v>1</v>
      </c>
      <c r="F90" s="17">
        <f>IF(ISBLANK(B90),"",VLOOKUP(B90,formules!E:K,7,0))</f>
        <v>29.9</v>
      </c>
      <c r="G90" s="17">
        <f>IF(ISBLANK(B90),"",VLOOKUP(B90,formules!E:L,8,0))</f>
        <v>39.9</v>
      </c>
      <c r="H90" s="1" t="str">
        <f t="shared" si="8"/>
        <v>Size</v>
      </c>
      <c r="I90" s="1" t="s">
        <v>171</v>
      </c>
      <c r="J90" s="1">
        <f t="shared" si="9"/>
        <v>1</v>
      </c>
    </row>
    <row r="91" spans="1:10" x14ac:dyDescent="0.2">
      <c r="A91" s="1" t="str">
        <f t="shared" si="5"/>
        <v>variation</v>
      </c>
      <c r="B91" s="1" t="s">
        <v>190</v>
      </c>
      <c r="C91" s="15">
        <f t="shared" ca="1" si="6"/>
        <v>4067879051326</v>
      </c>
      <c r="D91" s="1" t="str">
        <f>IF(ISBLANK(B91),"",VLOOKUP(B91,formules!E:F,2,0))</f>
        <v>Printed tulle halter top zebra</v>
      </c>
      <c r="E91" s="1">
        <f t="shared" si="7"/>
        <v>1</v>
      </c>
      <c r="F91" s="17">
        <f>IF(ISBLANK(B91),"",VLOOKUP(B91,formules!E:K,7,0))</f>
        <v>29.9</v>
      </c>
      <c r="G91" s="17">
        <f>IF(ISBLANK(B91),"",VLOOKUP(B91,formules!E:L,8,0))</f>
        <v>39.9</v>
      </c>
      <c r="H91" s="1" t="str">
        <f t="shared" si="8"/>
        <v>Size</v>
      </c>
      <c r="I91" s="1" t="s">
        <v>172</v>
      </c>
      <c r="J91" s="1">
        <f t="shared" si="9"/>
        <v>1</v>
      </c>
    </row>
    <row r="92" spans="1:10" x14ac:dyDescent="0.2">
      <c r="A92" s="1" t="str">
        <f t="shared" si="5"/>
        <v>variation</v>
      </c>
      <c r="B92" s="1" t="s">
        <v>191</v>
      </c>
      <c r="C92" s="15">
        <f t="shared" ca="1" si="6"/>
        <v>2655398947555</v>
      </c>
      <c r="D92" s="1" t="str">
        <f>IF(ISBLANK(B92),"",VLOOKUP(B92,formules!E:F,2,0))</f>
        <v>Striped short sleeve T-shirt pale blue</v>
      </c>
      <c r="E92" s="1">
        <f t="shared" si="7"/>
        <v>1</v>
      </c>
      <c r="F92" s="17">
        <f>IF(ISBLANK(B92),"",VLOOKUP(B92,formules!E:K,7,0))</f>
        <v>17.899999999999999</v>
      </c>
      <c r="G92" s="17">
        <f>IF(ISBLANK(B92),"",VLOOKUP(B92,formules!E:L,8,0))</f>
        <v>45.9</v>
      </c>
      <c r="H92" s="1" t="str">
        <f t="shared" si="8"/>
        <v>Size</v>
      </c>
      <c r="I92" s="1" t="s">
        <v>170</v>
      </c>
      <c r="J92" s="1">
        <f t="shared" si="9"/>
        <v>1</v>
      </c>
    </row>
    <row r="93" spans="1:10" x14ac:dyDescent="0.2">
      <c r="A93" s="1" t="str">
        <f t="shared" si="5"/>
        <v>variation</v>
      </c>
      <c r="B93" s="1" t="s">
        <v>191</v>
      </c>
      <c r="C93" s="15">
        <f t="shared" ca="1" si="6"/>
        <v>1464388671615</v>
      </c>
      <c r="D93" s="1" t="str">
        <f>IF(ISBLANK(B93),"",VLOOKUP(B93,formules!E:F,2,0))</f>
        <v>Striped short sleeve T-shirt pale blue</v>
      </c>
      <c r="E93" s="1">
        <f t="shared" si="7"/>
        <v>1</v>
      </c>
      <c r="F93" s="17">
        <f>IF(ISBLANK(B93),"",VLOOKUP(B93,formules!E:K,7,0))</f>
        <v>17.899999999999999</v>
      </c>
      <c r="G93" s="17">
        <f>IF(ISBLANK(B93),"",VLOOKUP(B93,formules!E:L,8,0))</f>
        <v>45.9</v>
      </c>
      <c r="H93" s="1" t="str">
        <f t="shared" si="8"/>
        <v>Size</v>
      </c>
      <c r="I93" s="1" t="s">
        <v>10</v>
      </c>
      <c r="J93" s="1">
        <f t="shared" si="9"/>
        <v>1</v>
      </c>
    </row>
    <row r="94" spans="1:10" x14ac:dyDescent="0.2">
      <c r="A94" s="1" t="str">
        <f t="shared" si="5"/>
        <v>variation</v>
      </c>
      <c r="B94" s="1" t="s">
        <v>191</v>
      </c>
      <c r="C94" s="15">
        <f t="shared" ca="1" si="6"/>
        <v>8312379245255</v>
      </c>
      <c r="D94" s="1" t="str">
        <f>IF(ISBLANK(B94),"",VLOOKUP(B94,formules!E:F,2,0))</f>
        <v>Striped short sleeve T-shirt pale blue</v>
      </c>
      <c r="E94" s="1">
        <f t="shared" si="7"/>
        <v>1</v>
      </c>
      <c r="F94" s="17">
        <f>IF(ISBLANK(B94),"",VLOOKUP(B94,formules!E:K,7,0))</f>
        <v>17.899999999999999</v>
      </c>
      <c r="G94" s="17">
        <f>IF(ISBLANK(B94),"",VLOOKUP(B94,formules!E:L,8,0))</f>
        <v>45.9</v>
      </c>
      <c r="H94" s="1" t="str">
        <f t="shared" si="8"/>
        <v>Size</v>
      </c>
      <c r="I94" s="1" t="s">
        <v>96</v>
      </c>
      <c r="J94" s="1">
        <f t="shared" si="9"/>
        <v>1</v>
      </c>
    </row>
    <row r="95" spans="1:10" x14ac:dyDescent="0.2">
      <c r="A95" s="1" t="str">
        <f t="shared" si="5"/>
        <v>variation</v>
      </c>
      <c r="B95" s="1" t="s">
        <v>191</v>
      </c>
      <c r="C95" s="15">
        <f t="shared" ca="1" si="6"/>
        <v>6920009411272</v>
      </c>
      <c r="D95" s="1" t="str">
        <f>IF(ISBLANK(B95),"",VLOOKUP(B95,formules!E:F,2,0))</f>
        <v>Striped short sleeve T-shirt pale blue</v>
      </c>
      <c r="E95" s="1">
        <f t="shared" si="7"/>
        <v>1</v>
      </c>
      <c r="F95" s="17">
        <f>IF(ISBLANK(B95),"",VLOOKUP(B95,formules!E:K,7,0))</f>
        <v>17.899999999999999</v>
      </c>
      <c r="G95" s="17">
        <f>IF(ISBLANK(B95),"",VLOOKUP(B95,formules!E:L,8,0))</f>
        <v>45.9</v>
      </c>
      <c r="H95" s="1" t="str">
        <f t="shared" si="8"/>
        <v>Size</v>
      </c>
      <c r="I95" s="1" t="s">
        <v>171</v>
      </c>
      <c r="J95" s="1">
        <f t="shared" si="9"/>
        <v>1</v>
      </c>
    </row>
    <row r="96" spans="1:10" x14ac:dyDescent="0.2">
      <c r="A96" s="1" t="str">
        <f t="shared" si="5"/>
        <v>variation</v>
      </c>
      <c r="B96" s="1" t="s">
        <v>191</v>
      </c>
      <c r="C96" s="15">
        <f t="shared" ca="1" si="6"/>
        <v>4574305184013</v>
      </c>
      <c r="D96" s="1" t="str">
        <f>IF(ISBLANK(B96),"",VLOOKUP(B96,formules!E:F,2,0))</f>
        <v>Striped short sleeve T-shirt pale blue</v>
      </c>
      <c r="E96" s="1">
        <f t="shared" si="7"/>
        <v>1</v>
      </c>
      <c r="F96" s="17">
        <f>IF(ISBLANK(B96),"",VLOOKUP(B96,formules!E:K,7,0))</f>
        <v>17.899999999999999</v>
      </c>
      <c r="G96" s="17">
        <f>IF(ISBLANK(B96),"",VLOOKUP(B96,formules!E:L,8,0))</f>
        <v>45.9</v>
      </c>
      <c r="H96" s="1" t="str">
        <f t="shared" si="8"/>
        <v>Size</v>
      </c>
      <c r="I96" s="1" t="s">
        <v>172</v>
      </c>
      <c r="J96" s="1">
        <f t="shared" si="9"/>
        <v>1</v>
      </c>
    </row>
    <row r="97" spans="1:10" x14ac:dyDescent="0.2">
      <c r="A97" s="1" t="str">
        <f t="shared" si="5"/>
        <v>variation</v>
      </c>
      <c r="B97" s="1" t="s">
        <v>192</v>
      </c>
      <c r="C97" s="15">
        <f t="shared" ca="1" si="6"/>
        <v>7512859791211</v>
      </c>
      <c r="D97" s="1" t="str">
        <f>IF(ISBLANK(B97),"",VLOOKUP(B97,formules!E:F,2,0))</f>
        <v>Striped short sleeve T-shirt brown</v>
      </c>
      <c r="E97" s="1">
        <f t="shared" si="7"/>
        <v>1</v>
      </c>
      <c r="F97" s="17">
        <f>IF(ISBLANK(B97),"",VLOOKUP(B97,formules!E:K,7,0))</f>
        <v>17.899999999999999</v>
      </c>
      <c r="G97" s="17">
        <f>IF(ISBLANK(B97),"",VLOOKUP(B97,formules!E:L,8,0))</f>
        <v>45.9</v>
      </c>
      <c r="H97" s="1" t="str">
        <f t="shared" si="8"/>
        <v>Size</v>
      </c>
      <c r="I97" s="1" t="s">
        <v>170</v>
      </c>
      <c r="J97" s="1">
        <f t="shared" si="9"/>
        <v>1</v>
      </c>
    </row>
    <row r="98" spans="1:10" x14ac:dyDescent="0.2">
      <c r="A98" s="1" t="str">
        <f t="shared" si="5"/>
        <v>variation</v>
      </c>
      <c r="B98" s="1" t="s">
        <v>192</v>
      </c>
      <c r="C98" s="15">
        <f t="shared" ca="1" si="6"/>
        <v>9119648904473</v>
      </c>
      <c r="D98" s="1" t="str">
        <f>IF(ISBLANK(B98),"",VLOOKUP(B98,formules!E:F,2,0))</f>
        <v>Striped short sleeve T-shirt brown</v>
      </c>
      <c r="E98" s="1">
        <f t="shared" si="7"/>
        <v>1</v>
      </c>
      <c r="F98" s="17">
        <f>IF(ISBLANK(B98),"",VLOOKUP(B98,formules!E:K,7,0))</f>
        <v>17.899999999999999</v>
      </c>
      <c r="G98" s="17">
        <f>IF(ISBLANK(B98),"",VLOOKUP(B98,formules!E:L,8,0))</f>
        <v>45.9</v>
      </c>
      <c r="H98" s="1" t="str">
        <f t="shared" si="8"/>
        <v>Size</v>
      </c>
      <c r="I98" s="1" t="s">
        <v>10</v>
      </c>
      <c r="J98" s="1">
        <f t="shared" si="9"/>
        <v>1</v>
      </c>
    </row>
    <row r="99" spans="1:10" x14ac:dyDescent="0.2">
      <c r="A99" s="1" t="str">
        <f t="shared" si="5"/>
        <v>variation</v>
      </c>
      <c r="B99" s="1" t="s">
        <v>192</v>
      </c>
      <c r="C99" s="15">
        <f t="shared" ca="1" si="6"/>
        <v>1900645744271</v>
      </c>
      <c r="D99" s="1" t="str">
        <f>IF(ISBLANK(B99),"",VLOOKUP(B99,formules!E:F,2,0))</f>
        <v>Striped short sleeve T-shirt brown</v>
      </c>
      <c r="E99" s="1">
        <f t="shared" si="7"/>
        <v>1</v>
      </c>
      <c r="F99" s="17">
        <f>IF(ISBLANK(B99),"",VLOOKUP(B99,formules!E:K,7,0))</f>
        <v>17.899999999999999</v>
      </c>
      <c r="G99" s="17">
        <f>IF(ISBLANK(B99),"",VLOOKUP(B99,formules!E:L,8,0))</f>
        <v>45.9</v>
      </c>
      <c r="H99" s="1" t="str">
        <f t="shared" si="8"/>
        <v>Size</v>
      </c>
      <c r="I99" s="1" t="s">
        <v>96</v>
      </c>
      <c r="J99" s="1">
        <f t="shared" si="9"/>
        <v>1</v>
      </c>
    </row>
    <row r="100" spans="1:10" x14ac:dyDescent="0.2">
      <c r="A100" s="1" t="str">
        <f t="shared" si="5"/>
        <v>variation</v>
      </c>
      <c r="B100" s="1" t="s">
        <v>192</v>
      </c>
      <c r="C100" s="15">
        <f t="shared" ca="1" si="6"/>
        <v>5570750282816</v>
      </c>
      <c r="D100" s="1" t="str">
        <f>IF(ISBLANK(B100),"",VLOOKUP(B100,formules!E:F,2,0))</f>
        <v>Striped short sleeve T-shirt brown</v>
      </c>
      <c r="E100" s="1">
        <f t="shared" si="7"/>
        <v>1</v>
      </c>
      <c r="F100" s="17">
        <f>IF(ISBLANK(B100),"",VLOOKUP(B100,formules!E:K,7,0))</f>
        <v>17.899999999999999</v>
      </c>
      <c r="G100" s="17">
        <f>IF(ISBLANK(B100),"",VLOOKUP(B100,formules!E:L,8,0))</f>
        <v>45.9</v>
      </c>
      <c r="H100" s="1" t="str">
        <f t="shared" si="8"/>
        <v>Size</v>
      </c>
      <c r="I100" s="1" t="s">
        <v>171</v>
      </c>
      <c r="J100" s="1">
        <f t="shared" si="9"/>
        <v>1</v>
      </c>
    </row>
    <row r="101" spans="1:10" x14ac:dyDescent="0.2">
      <c r="A101" s="1" t="str">
        <f t="shared" si="5"/>
        <v>variation</v>
      </c>
      <c r="B101" s="1" t="s">
        <v>192</v>
      </c>
      <c r="C101" s="15">
        <f t="shared" ca="1" si="6"/>
        <v>7613342258832</v>
      </c>
      <c r="D101" s="1" t="str">
        <f>IF(ISBLANK(B101),"",VLOOKUP(B101,formules!E:F,2,0))</f>
        <v>Striped short sleeve T-shirt brown</v>
      </c>
      <c r="E101" s="1">
        <f t="shared" si="7"/>
        <v>1</v>
      </c>
      <c r="F101" s="17">
        <f>IF(ISBLANK(B101),"",VLOOKUP(B101,formules!E:K,7,0))</f>
        <v>17.899999999999999</v>
      </c>
      <c r="G101" s="17">
        <f>IF(ISBLANK(B101),"",VLOOKUP(B101,formules!E:L,8,0))</f>
        <v>45.9</v>
      </c>
      <c r="H101" s="1" t="str">
        <f t="shared" si="8"/>
        <v>Size</v>
      </c>
      <c r="I101" s="1" t="s">
        <v>172</v>
      </c>
      <c r="J101" s="1">
        <f t="shared" si="9"/>
        <v>1</v>
      </c>
    </row>
    <row r="102" spans="1:10" x14ac:dyDescent="0.2">
      <c r="A102" s="1" t="str">
        <f t="shared" si="5"/>
        <v>variation</v>
      </c>
      <c r="B102" s="1" t="s">
        <v>193</v>
      </c>
      <c r="C102" s="15">
        <f t="shared" ca="1" si="6"/>
        <v>1605699489226</v>
      </c>
      <c r="D102" s="1" t="str">
        <f>IF(ISBLANK(B102),"",VLOOKUP(B102,formules!E:F,2,0))</f>
        <v>Strappy crepe midi dress blue</v>
      </c>
      <c r="E102" s="1">
        <f t="shared" si="7"/>
        <v>1</v>
      </c>
      <c r="F102" s="17">
        <f>IF(ISBLANK(B102),"",VLOOKUP(B102,formules!E:K,7,0))</f>
        <v>39.9</v>
      </c>
      <c r="G102" s="17">
        <f>IF(ISBLANK(B102),"",VLOOKUP(B102,formules!E:L,8,0))</f>
        <v>53.9</v>
      </c>
      <c r="H102" s="1" t="str">
        <f t="shared" si="8"/>
        <v>Size</v>
      </c>
      <c r="I102" s="1" t="s">
        <v>170</v>
      </c>
      <c r="J102" s="1">
        <f t="shared" si="9"/>
        <v>1</v>
      </c>
    </row>
    <row r="103" spans="1:10" x14ac:dyDescent="0.2">
      <c r="A103" s="1" t="str">
        <f t="shared" si="5"/>
        <v>variation</v>
      </c>
      <c r="B103" s="1" t="s">
        <v>193</v>
      </c>
      <c r="C103" s="15">
        <f t="shared" ca="1" si="6"/>
        <v>4460928150250</v>
      </c>
      <c r="D103" s="1" t="str">
        <f>IF(ISBLANK(B103),"",VLOOKUP(B103,formules!E:F,2,0))</f>
        <v>Strappy crepe midi dress blue</v>
      </c>
      <c r="E103" s="1">
        <f t="shared" si="7"/>
        <v>1</v>
      </c>
      <c r="F103" s="17">
        <f>IF(ISBLANK(B103),"",VLOOKUP(B103,formules!E:K,7,0))</f>
        <v>39.9</v>
      </c>
      <c r="G103" s="17">
        <f>IF(ISBLANK(B103),"",VLOOKUP(B103,formules!E:L,8,0))</f>
        <v>53.9</v>
      </c>
      <c r="H103" s="1" t="str">
        <f t="shared" si="8"/>
        <v>Size</v>
      </c>
      <c r="I103" s="1" t="s">
        <v>10</v>
      </c>
      <c r="J103" s="1">
        <f t="shared" si="9"/>
        <v>1</v>
      </c>
    </row>
    <row r="104" spans="1:10" x14ac:dyDescent="0.2">
      <c r="A104" s="1" t="str">
        <f t="shared" si="5"/>
        <v>variation</v>
      </c>
      <c r="B104" s="1" t="s">
        <v>193</v>
      </c>
      <c r="C104" s="15">
        <f t="shared" ca="1" si="6"/>
        <v>9900215919894</v>
      </c>
      <c r="D104" s="1" t="str">
        <f>IF(ISBLANK(B104),"",VLOOKUP(B104,formules!E:F,2,0))</f>
        <v>Strappy crepe midi dress blue</v>
      </c>
      <c r="E104" s="1">
        <f t="shared" si="7"/>
        <v>1</v>
      </c>
      <c r="F104" s="17">
        <f>IF(ISBLANK(B104),"",VLOOKUP(B104,formules!E:K,7,0))</f>
        <v>39.9</v>
      </c>
      <c r="G104" s="17">
        <f>IF(ISBLANK(B104),"",VLOOKUP(B104,formules!E:L,8,0))</f>
        <v>53.9</v>
      </c>
      <c r="H104" s="1" t="str">
        <f t="shared" si="8"/>
        <v>Size</v>
      </c>
      <c r="I104" s="1" t="s">
        <v>96</v>
      </c>
      <c r="J104" s="1">
        <f t="shared" si="9"/>
        <v>1</v>
      </c>
    </row>
    <row r="105" spans="1:10" x14ac:dyDescent="0.2">
      <c r="A105" s="1" t="str">
        <f t="shared" si="5"/>
        <v>variation</v>
      </c>
      <c r="B105" s="1" t="s">
        <v>193</v>
      </c>
      <c r="C105" s="15">
        <f t="shared" ca="1" si="6"/>
        <v>6219542588394</v>
      </c>
      <c r="D105" s="1" t="str">
        <f>IF(ISBLANK(B105),"",VLOOKUP(B105,formules!E:F,2,0))</f>
        <v>Strappy crepe midi dress blue</v>
      </c>
      <c r="E105" s="1">
        <f t="shared" si="7"/>
        <v>1</v>
      </c>
      <c r="F105" s="17">
        <f>IF(ISBLANK(B105),"",VLOOKUP(B105,formules!E:K,7,0))</f>
        <v>39.9</v>
      </c>
      <c r="G105" s="17">
        <f>IF(ISBLANK(B105),"",VLOOKUP(B105,formules!E:L,8,0))</f>
        <v>53.9</v>
      </c>
      <c r="H105" s="1" t="str">
        <f t="shared" si="8"/>
        <v>Size</v>
      </c>
      <c r="I105" s="1" t="s">
        <v>171</v>
      </c>
      <c r="J105" s="1">
        <f t="shared" si="9"/>
        <v>1</v>
      </c>
    </row>
    <row r="106" spans="1:10" x14ac:dyDescent="0.2">
      <c r="A106" s="1" t="str">
        <f t="shared" si="5"/>
        <v>variation</v>
      </c>
      <c r="B106" s="1" t="s">
        <v>193</v>
      </c>
      <c r="C106" s="15">
        <f t="shared" ca="1" si="6"/>
        <v>4664745777531</v>
      </c>
      <c r="D106" s="1" t="str">
        <f>IF(ISBLANK(B106),"",VLOOKUP(B106,formules!E:F,2,0))</f>
        <v>Strappy crepe midi dress blue</v>
      </c>
      <c r="E106" s="1">
        <f t="shared" si="7"/>
        <v>1</v>
      </c>
      <c r="F106" s="17">
        <f>IF(ISBLANK(B106),"",VLOOKUP(B106,formules!E:K,7,0))</f>
        <v>39.9</v>
      </c>
      <c r="G106" s="17">
        <f>IF(ISBLANK(B106),"",VLOOKUP(B106,formules!E:L,8,0))</f>
        <v>53.9</v>
      </c>
      <c r="H106" s="1" t="str">
        <f t="shared" si="8"/>
        <v>Size</v>
      </c>
      <c r="I106" s="1" t="s">
        <v>172</v>
      </c>
      <c r="J106" s="1">
        <f t="shared" si="9"/>
        <v>1</v>
      </c>
    </row>
    <row r="107" spans="1:10" x14ac:dyDescent="0.2">
      <c r="A107" s="1" t="str">
        <f t="shared" si="5"/>
        <v>variation</v>
      </c>
      <c r="B107" s="1" t="s">
        <v>194</v>
      </c>
      <c r="C107" s="15">
        <f t="shared" ca="1" si="6"/>
        <v>4172091734583</v>
      </c>
      <c r="D107" s="1" t="str">
        <f>IF(ISBLANK(B107),"",VLOOKUP(B107,formules!E:F,2,0))</f>
        <v>Strappy crepe midi dress pale mink</v>
      </c>
      <c r="E107" s="1">
        <f t="shared" si="7"/>
        <v>1</v>
      </c>
      <c r="F107" s="17">
        <f>IF(ISBLANK(B107),"",VLOOKUP(B107,formules!E:K,7,0))</f>
        <v>39.9</v>
      </c>
      <c r="G107" s="17">
        <f>IF(ISBLANK(B107),"",VLOOKUP(B107,formules!E:L,8,0))</f>
        <v>53.9</v>
      </c>
      <c r="H107" s="1" t="str">
        <f t="shared" si="8"/>
        <v>Size</v>
      </c>
      <c r="I107" s="1" t="s">
        <v>170</v>
      </c>
      <c r="J107" s="1">
        <f t="shared" si="9"/>
        <v>1</v>
      </c>
    </row>
    <row r="108" spans="1:10" x14ac:dyDescent="0.2">
      <c r="A108" s="1" t="str">
        <f t="shared" si="5"/>
        <v>variation</v>
      </c>
      <c r="B108" s="1" t="s">
        <v>194</v>
      </c>
      <c r="C108" s="15">
        <f t="shared" ca="1" si="6"/>
        <v>7742656970998</v>
      </c>
      <c r="D108" s="1" t="str">
        <f>IF(ISBLANK(B108),"",VLOOKUP(B108,formules!E:F,2,0))</f>
        <v>Strappy crepe midi dress pale mink</v>
      </c>
      <c r="E108" s="1">
        <f t="shared" si="7"/>
        <v>1</v>
      </c>
      <c r="F108" s="17">
        <f>IF(ISBLANK(B108),"",VLOOKUP(B108,formules!E:K,7,0))</f>
        <v>39.9</v>
      </c>
      <c r="G108" s="17">
        <f>IF(ISBLANK(B108),"",VLOOKUP(B108,formules!E:L,8,0))</f>
        <v>53.9</v>
      </c>
      <c r="H108" s="1" t="str">
        <f t="shared" si="8"/>
        <v>Size</v>
      </c>
      <c r="I108" s="1" t="s">
        <v>10</v>
      </c>
      <c r="J108" s="1">
        <f t="shared" si="9"/>
        <v>1</v>
      </c>
    </row>
    <row r="109" spans="1:10" x14ac:dyDescent="0.2">
      <c r="A109" s="1" t="str">
        <f t="shared" si="5"/>
        <v>variation</v>
      </c>
      <c r="B109" s="1" t="s">
        <v>194</v>
      </c>
      <c r="C109" s="15">
        <f t="shared" ca="1" si="6"/>
        <v>5492279890944</v>
      </c>
      <c r="D109" s="1" t="str">
        <f>IF(ISBLANK(B109),"",VLOOKUP(B109,formules!E:F,2,0))</f>
        <v>Strappy crepe midi dress pale mink</v>
      </c>
      <c r="E109" s="1">
        <f t="shared" si="7"/>
        <v>1</v>
      </c>
      <c r="F109" s="17">
        <f>IF(ISBLANK(B109),"",VLOOKUP(B109,formules!E:K,7,0))</f>
        <v>39.9</v>
      </c>
      <c r="G109" s="17">
        <f>IF(ISBLANK(B109),"",VLOOKUP(B109,formules!E:L,8,0))</f>
        <v>53.9</v>
      </c>
      <c r="H109" s="1" t="str">
        <f t="shared" si="8"/>
        <v>Size</v>
      </c>
      <c r="I109" s="1" t="s">
        <v>96</v>
      </c>
      <c r="J109" s="1">
        <f t="shared" si="9"/>
        <v>1</v>
      </c>
    </row>
    <row r="110" spans="1:10" x14ac:dyDescent="0.2">
      <c r="A110" s="1" t="str">
        <f t="shared" si="5"/>
        <v>variation</v>
      </c>
      <c r="B110" s="1" t="s">
        <v>194</v>
      </c>
      <c r="C110" s="15">
        <f t="shared" ca="1" si="6"/>
        <v>7656978293061</v>
      </c>
      <c r="D110" s="1" t="str">
        <f>IF(ISBLANK(B110),"",VLOOKUP(B110,formules!E:F,2,0))</f>
        <v>Strappy crepe midi dress pale mink</v>
      </c>
      <c r="E110" s="1">
        <f t="shared" si="7"/>
        <v>1</v>
      </c>
      <c r="F110" s="17">
        <f>IF(ISBLANK(B110),"",VLOOKUP(B110,formules!E:K,7,0))</f>
        <v>39.9</v>
      </c>
      <c r="G110" s="17">
        <f>IF(ISBLANK(B110),"",VLOOKUP(B110,formules!E:L,8,0))</f>
        <v>53.9</v>
      </c>
      <c r="H110" s="1" t="str">
        <f t="shared" si="8"/>
        <v>Size</v>
      </c>
      <c r="I110" s="1" t="s">
        <v>171</v>
      </c>
      <c r="J110" s="1">
        <f t="shared" si="9"/>
        <v>1</v>
      </c>
    </row>
    <row r="111" spans="1:10" x14ac:dyDescent="0.2">
      <c r="A111" s="1" t="str">
        <f t="shared" si="5"/>
        <v>variation</v>
      </c>
      <c r="B111" s="1" t="s">
        <v>194</v>
      </c>
      <c r="C111" s="15">
        <f t="shared" ca="1" si="6"/>
        <v>2073151425363</v>
      </c>
      <c r="D111" s="1" t="str">
        <f>IF(ISBLANK(B111),"",VLOOKUP(B111,formules!E:F,2,0))</f>
        <v>Strappy crepe midi dress pale mink</v>
      </c>
      <c r="E111" s="1">
        <f t="shared" si="7"/>
        <v>1</v>
      </c>
      <c r="F111" s="17">
        <f>IF(ISBLANK(B111),"",VLOOKUP(B111,formules!E:K,7,0))</f>
        <v>39.9</v>
      </c>
      <c r="G111" s="17">
        <f>IF(ISBLANK(B111),"",VLOOKUP(B111,formules!E:L,8,0))</f>
        <v>53.9</v>
      </c>
      <c r="H111" s="1" t="str">
        <f t="shared" si="8"/>
        <v>Size</v>
      </c>
      <c r="I111" s="1" t="s">
        <v>172</v>
      </c>
      <c r="J111" s="1">
        <f t="shared" si="9"/>
        <v>1</v>
      </c>
    </row>
    <row r="112" spans="1:10" x14ac:dyDescent="0.2">
      <c r="A112" s="1" t="str">
        <f t="shared" si="5"/>
        <v>variation</v>
      </c>
      <c r="B112" s="1" t="s">
        <v>195</v>
      </c>
      <c r="C112" s="15">
        <f t="shared" ca="1" si="6"/>
        <v>3105004648210</v>
      </c>
      <c r="D112" s="1" t="str">
        <f>IF(ISBLANK(B112),"",VLOOKUP(B112,formules!E:F,2,0))</f>
        <v>Strappy crepe midi dress bluish green</v>
      </c>
      <c r="E112" s="1">
        <f t="shared" si="7"/>
        <v>1</v>
      </c>
      <c r="F112" s="17">
        <f>IF(ISBLANK(B112),"",VLOOKUP(B112,formules!E:K,7,0))</f>
        <v>39.9</v>
      </c>
      <c r="G112" s="17">
        <f>IF(ISBLANK(B112),"",VLOOKUP(B112,formules!E:L,8,0))</f>
        <v>53.9</v>
      </c>
      <c r="H112" s="1" t="str">
        <f t="shared" si="8"/>
        <v>Size</v>
      </c>
      <c r="I112" s="1" t="s">
        <v>170</v>
      </c>
      <c r="J112" s="1">
        <f t="shared" si="9"/>
        <v>1</v>
      </c>
    </row>
    <row r="113" spans="1:10" x14ac:dyDescent="0.2">
      <c r="A113" s="1" t="str">
        <f t="shared" si="5"/>
        <v>variation</v>
      </c>
      <c r="B113" s="1" t="s">
        <v>195</v>
      </c>
      <c r="C113" s="15">
        <f t="shared" ca="1" si="6"/>
        <v>2303288786417</v>
      </c>
      <c r="D113" s="1" t="str">
        <f>IF(ISBLANK(B113),"",VLOOKUP(B113,formules!E:F,2,0))</f>
        <v>Strappy crepe midi dress bluish green</v>
      </c>
      <c r="E113" s="1">
        <f t="shared" si="7"/>
        <v>1</v>
      </c>
      <c r="F113" s="17">
        <f>IF(ISBLANK(B113),"",VLOOKUP(B113,formules!E:K,7,0))</f>
        <v>39.9</v>
      </c>
      <c r="G113" s="17">
        <f>IF(ISBLANK(B113),"",VLOOKUP(B113,formules!E:L,8,0))</f>
        <v>53.9</v>
      </c>
      <c r="H113" s="1" t="str">
        <f t="shared" si="8"/>
        <v>Size</v>
      </c>
      <c r="I113" s="1" t="s">
        <v>10</v>
      </c>
      <c r="J113" s="1">
        <f t="shared" si="9"/>
        <v>1</v>
      </c>
    </row>
    <row r="114" spans="1:10" x14ac:dyDescent="0.2">
      <c r="A114" s="1" t="str">
        <f t="shared" si="5"/>
        <v>variation</v>
      </c>
      <c r="B114" s="1" t="s">
        <v>195</v>
      </c>
      <c r="C114" s="15">
        <f t="shared" ca="1" si="6"/>
        <v>6293126073072</v>
      </c>
      <c r="D114" s="1" t="str">
        <f>IF(ISBLANK(B114),"",VLOOKUP(B114,formules!E:F,2,0))</f>
        <v>Strappy crepe midi dress bluish green</v>
      </c>
      <c r="E114" s="1">
        <f t="shared" si="7"/>
        <v>1</v>
      </c>
      <c r="F114" s="17">
        <f>IF(ISBLANK(B114),"",VLOOKUP(B114,formules!E:K,7,0))</f>
        <v>39.9</v>
      </c>
      <c r="G114" s="17">
        <f>IF(ISBLANK(B114),"",VLOOKUP(B114,formules!E:L,8,0))</f>
        <v>53.9</v>
      </c>
      <c r="H114" s="1" t="str">
        <f t="shared" si="8"/>
        <v>Size</v>
      </c>
      <c r="I114" s="1" t="s">
        <v>96</v>
      </c>
      <c r="J114" s="1">
        <f t="shared" si="9"/>
        <v>1</v>
      </c>
    </row>
    <row r="115" spans="1:10" x14ac:dyDescent="0.2">
      <c r="A115" s="1" t="str">
        <f t="shared" si="5"/>
        <v>variation</v>
      </c>
      <c r="B115" s="1" t="s">
        <v>195</v>
      </c>
      <c r="C115" s="15">
        <f t="shared" ca="1" si="6"/>
        <v>5445470529013</v>
      </c>
      <c r="D115" s="1" t="str">
        <f>IF(ISBLANK(B115),"",VLOOKUP(B115,formules!E:F,2,0))</f>
        <v>Strappy crepe midi dress bluish green</v>
      </c>
      <c r="E115" s="1">
        <f t="shared" si="7"/>
        <v>1</v>
      </c>
      <c r="F115" s="17">
        <f>IF(ISBLANK(B115),"",VLOOKUP(B115,formules!E:K,7,0))</f>
        <v>39.9</v>
      </c>
      <c r="G115" s="17">
        <f>IF(ISBLANK(B115),"",VLOOKUP(B115,formules!E:L,8,0))</f>
        <v>53.9</v>
      </c>
      <c r="H115" s="1" t="str">
        <f t="shared" si="8"/>
        <v>Size</v>
      </c>
      <c r="I115" s="1" t="s">
        <v>171</v>
      </c>
      <c r="J115" s="1">
        <f t="shared" si="9"/>
        <v>1</v>
      </c>
    </row>
    <row r="116" spans="1:10" x14ac:dyDescent="0.2">
      <c r="A116" s="1" t="str">
        <f t="shared" si="5"/>
        <v>variation</v>
      </c>
      <c r="B116" s="1" t="s">
        <v>195</v>
      </c>
      <c r="C116" s="15">
        <f t="shared" ca="1" si="6"/>
        <v>2448745701358</v>
      </c>
      <c r="D116" s="1" t="str">
        <f>IF(ISBLANK(B116),"",VLOOKUP(B116,formules!E:F,2,0))</f>
        <v>Strappy crepe midi dress bluish green</v>
      </c>
      <c r="E116" s="1">
        <f t="shared" si="7"/>
        <v>1</v>
      </c>
      <c r="F116" s="17">
        <f>IF(ISBLANK(B116),"",VLOOKUP(B116,formules!E:K,7,0))</f>
        <v>39.9</v>
      </c>
      <c r="G116" s="17">
        <f>IF(ISBLANK(B116),"",VLOOKUP(B116,formules!E:L,8,0))</f>
        <v>53.9</v>
      </c>
      <c r="H116" s="1" t="str">
        <f t="shared" si="8"/>
        <v>Size</v>
      </c>
      <c r="I116" s="1" t="s">
        <v>172</v>
      </c>
      <c r="J116" s="1">
        <f t="shared" si="9"/>
        <v>1</v>
      </c>
    </row>
    <row r="117" spans="1:10" x14ac:dyDescent="0.2">
      <c r="A117" s="1" t="str">
        <f t="shared" si="5"/>
        <v>variation</v>
      </c>
      <c r="B117" s="1" t="s">
        <v>196</v>
      </c>
      <c r="C117" s="15">
        <f t="shared" ca="1" si="6"/>
        <v>3578127249082</v>
      </c>
      <c r="D117" s="1" t="str">
        <f>IF(ISBLANK(B117),"",VLOOKUP(B117,formules!E:F,2,0))</f>
        <v>Short floral lace dress white</v>
      </c>
      <c r="E117" s="1">
        <f t="shared" si="7"/>
        <v>1</v>
      </c>
      <c r="F117" s="17">
        <f>IF(ISBLANK(B117),"",VLOOKUP(B117,formules!E:K,7,0))</f>
        <v>22.9</v>
      </c>
      <c r="G117" s="17">
        <f>IF(ISBLANK(B117),"",VLOOKUP(B117,formules!E:L,8,0))</f>
        <v>45.9</v>
      </c>
      <c r="H117" s="1" t="str">
        <f t="shared" si="8"/>
        <v>Size</v>
      </c>
      <c r="I117" s="1" t="s">
        <v>170</v>
      </c>
      <c r="J117" s="1">
        <f t="shared" si="9"/>
        <v>1</v>
      </c>
    </row>
    <row r="118" spans="1:10" x14ac:dyDescent="0.2">
      <c r="A118" s="1" t="str">
        <f t="shared" si="5"/>
        <v>variation</v>
      </c>
      <c r="B118" s="1" t="s">
        <v>196</v>
      </c>
      <c r="C118" s="15">
        <f t="shared" ca="1" si="6"/>
        <v>4720147599542</v>
      </c>
      <c r="D118" s="1" t="str">
        <f>IF(ISBLANK(B118),"",VLOOKUP(B118,formules!E:F,2,0))</f>
        <v>Short floral lace dress white</v>
      </c>
      <c r="E118" s="1">
        <f t="shared" si="7"/>
        <v>1</v>
      </c>
      <c r="F118" s="17">
        <f>IF(ISBLANK(B118),"",VLOOKUP(B118,formules!E:K,7,0))</f>
        <v>22.9</v>
      </c>
      <c r="G118" s="17">
        <f>IF(ISBLANK(B118),"",VLOOKUP(B118,formules!E:L,8,0))</f>
        <v>45.9</v>
      </c>
      <c r="H118" s="1" t="str">
        <f t="shared" si="8"/>
        <v>Size</v>
      </c>
      <c r="I118" s="1" t="s">
        <v>10</v>
      </c>
      <c r="J118" s="1">
        <f t="shared" si="9"/>
        <v>1</v>
      </c>
    </row>
    <row r="119" spans="1:10" x14ac:dyDescent="0.2">
      <c r="A119" s="1" t="str">
        <f t="shared" si="5"/>
        <v>variation</v>
      </c>
      <c r="B119" s="1" t="s">
        <v>196</v>
      </c>
      <c r="C119" s="15">
        <f t="shared" ca="1" si="6"/>
        <v>3865773315649</v>
      </c>
      <c r="D119" s="1" t="str">
        <f>IF(ISBLANK(B119),"",VLOOKUP(B119,formules!E:F,2,0))</f>
        <v>Short floral lace dress white</v>
      </c>
      <c r="E119" s="1">
        <f t="shared" si="7"/>
        <v>1</v>
      </c>
      <c r="F119" s="17">
        <f>IF(ISBLANK(B119),"",VLOOKUP(B119,formules!E:K,7,0))</f>
        <v>22.9</v>
      </c>
      <c r="G119" s="17">
        <f>IF(ISBLANK(B119),"",VLOOKUP(B119,formules!E:L,8,0))</f>
        <v>45.9</v>
      </c>
      <c r="H119" s="1" t="str">
        <f t="shared" si="8"/>
        <v>Size</v>
      </c>
      <c r="I119" s="1" t="s">
        <v>96</v>
      </c>
      <c r="J119" s="1">
        <f t="shared" si="9"/>
        <v>1</v>
      </c>
    </row>
    <row r="120" spans="1:10" x14ac:dyDescent="0.2">
      <c r="A120" s="1" t="str">
        <f t="shared" si="5"/>
        <v>variation</v>
      </c>
      <c r="B120" s="1" t="s">
        <v>196</v>
      </c>
      <c r="C120" s="15">
        <f t="shared" ca="1" si="6"/>
        <v>3108818184894</v>
      </c>
      <c r="D120" s="1" t="str">
        <f>IF(ISBLANK(B120),"",VLOOKUP(B120,formules!E:F,2,0))</f>
        <v>Short floral lace dress white</v>
      </c>
      <c r="E120" s="1">
        <f t="shared" si="7"/>
        <v>1</v>
      </c>
      <c r="F120" s="17">
        <f>IF(ISBLANK(B120),"",VLOOKUP(B120,formules!E:K,7,0))</f>
        <v>22.9</v>
      </c>
      <c r="G120" s="17">
        <f>IF(ISBLANK(B120),"",VLOOKUP(B120,formules!E:L,8,0))</f>
        <v>45.9</v>
      </c>
      <c r="H120" s="1" t="str">
        <f t="shared" si="8"/>
        <v>Size</v>
      </c>
      <c r="I120" s="1" t="s">
        <v>171</v>
      </c>
      <c r="J120" s="1">
        <f t="shared" si="9"/>
        <v>1</v>
      </c>
    </row>
    <row r="121" spans="1:10" x14ac:dyDescent="0.2">
      <c r="A121" s="1" t="str">
        <f t="shared" si="5"/>
        <v>variation</v>
      </c>
      <c r="B121" s="1" t="s">
        <v>196</v>
      </c>
      <c r="C121" s="15">
        <f t="shared" ca="1" si="6"/>
        <v>3836568130923</v>
      </c>
      <c r="D121" s="1" t="str">
        <f>IF(ISBLANK(B121),"",VLOOKUP(B121,formules!E:F,2,0))</f>
        <v>Short floral lace dress white</v>
      </c>
      <c r="E121" s="1">
        <f t="shared" si="7"/>
        <v>1</v>
      </c>
      <c r="F121" s="17">
        <f>IF(ISBLANK(B121),"",VLOOKUP(B121,formules!E:K,7,0))</f>
        <v>22.9</v>
      </c>
      <c r="G121" s="17">
        <f>IF(ISBLANK(B121),"",VLOOKUP(B121,formules!E:L,8,0))</f>
        <v>45.9</v>
      </c>
      <c r="H121" s="1" t="str">
        <f t="shared" si="8"/>
        <v>Size</v>
      </c>
      <c r="I121" s="1" t="s">
        <v>172</v>
      </c>
      <c r="J121" s="1">
        <f t="shared" si="9"/>
        <v>1</v>
      </c>
    </row>
    <row r="122" spans="1:10" x14ac:dyDescent="0.2">
      <c r="A122" s="1" t="str">
        <f t="shared" si="5"/>
        <v>variation</v>
      </c>
      <c r="B122" s="1" t="s">
        <v>197</v>
      </c>
      <c r="C122" s="15">
        <f t="shared" ca="1" si="6"/>
        <v>5568201250185</v>
      </c>
      <c r="D122" s="1" t="str">
        <f>IF(ISBLANK(B122),"",VLOOKUP(B122,formules!E:F,2,0))</f>
        <v>Striped balloon mini skirt blue</v>
      </c>
      <c r="E122" s="1">
        <f t="shared" si="7"/>
        <v>1</v>
      </c>
      <c r="F122" s="17">
        <f>IF(ISBLANK(B122),"",VLOOKUP(B122,formules!E:K,7,0))</f>
        <v>25.9</v>
      </c>
      <c r="G122" s="17">
        <f>IF(ISBLANK(B122),"",VLOOKUP(B122,formules!E:L,8,0))</f>
        <v>39.9</v>
      </c>
      <c r="H122" s="1" t="str">
        <f t="shared" si="8"/>
        <v>Size</v>
      </c>
      <c r="I122" s="1" t="s">
        <v>170</v>
      </c>
      <c r="J122" s="1">
        <f t="shared" si="9"/>
        <v>1</v>
      </c>
    </row>
    <row r="123" spans="1:10" x14ac:dyDescent="0.2">
      <c r="A123" s="1" t="str">
        <f t="shared" si="5"/>
        <v>variation</v>
      </c>
      <c r="B123" s="1" t="s">
        <v>197</v>
      </c>
      <c r="C123" s="15">
        <f t="shared" ca="1" si="6"/>
        <v>7988453288132</v>
      </c>
      <c r="D123" s="1" t="str">
        <f>IF(ISBLANK(B123),"",VLOOKUP(B123,formules!E:F,2,0))</f>
        <v>Striped balloon mini skirt blue</v>
      </c>
      <c r="E123" s="1">
        <f t="shared" si="7"/>
        <v>1</v>
      </c>
      <c r="F123" s="17">
        <f>IF(ISBLANK(B123),"",VLOOKUP(B123,formules!E:K,7,0))</f>
        <v>25.9</v>
      </c>
      <c r="G123" s="17">
        <f>IF(ISBLANK(B123),"",VLOOKUP(B123,formules!E:L,8,0))</f>
        <v>39.9</v>
      </c>
      <c r="H123" s="1" t="str">
        <f t="shared" si="8"/>
        <v>Size</v>
      </c>
      <c r="I123" s="1" t="s">
        <v>10</v>
      </c>
      <c r="J123" s="1">
        <f t="shared" si="9"/>
        <v>1</v>
      </c>
    </row>
    <row r="124" spans="1:10" x14ac:dyDescent="0.2">
      <c r="A124" s="1" t="str">
        <f t="shared" si="5"/>
        <v>variation</v>
      </c>
      <c r="B124" s="1" t="s">
        <v>197</v>
      </c>
      <c r="C124" s="15">
        <f t="shared" ca="1" si="6"/>
        <v>5899814633361</v>
      </c>
      <c r="D124" s="1" t="str">
        <f>IF(ISBLANK(B124),"",VLOOKUP(B124,formules!E:F,2,0))</f>
        <v>Striped balloon mini skirt blue</v>
      </c>
      <c r="E124" s="1">
        <f t="shared" si="7"/>
        <v>1</v>
      </c>
      <c r="F124" s="17">
        <f>IF(ISBLANK(B124),"",VLOOKUP(B124,formules!E:K,7,0))</f>
        <v>25.9</v>
      </c>
      <c r="G124" s="17">
        <f>IF(ISBLANK(B124),"",VLOOKUP(B124,formules!E:L,8,0))</f>
        <v>39.9</v>
      </c>
      <c r="H124" s="1" t="str">
        <f t="shared" si="8"/>
        <v>Size</v>
      </c>
      <c r="I124" s="1" t="s">
        <v>96</v>
      </c>
      <c r="J124" s="1">
        <f t="shared" si="9"/>
        <v>1</v>
      </c>
    </row>
    <row r="125" spans="1:10" x14ac:dyDescent="0.2">
      <c r="A125" s="1" t="str">
        <f t="shared" si="5"/>
        <v>variation</v>
      </c>
      <c r="B125" s="1" t="s">
        <v>197</v>
      </c>
      <c r="C125" s="15">
        <f t="shared" ca="1" si="6"/>
        <v>3926791239063</v>
      </c>
      <c r="D125" s="1" t="str">
        <f>IF(ISBLANK(B125),"",VLOOKUP(B125,formules!E:F,2,0))</f>
        <v>Striped balloon mini skirt blue</v>
      </c>
      <c r="E125" s="1">
        <f t="shared" si="7"/>
        <v>1</v>
      </c>
      <c r="F125" s="17">
        <f>IF(ISBLANK(B125),"",VLOOKUP(B125,formules!E:K,7,0))</f>
        <v>25.9</v>
      </c>
      <c r="G125" s="17">
        <f>IF(ISBLANK(B125),"",VLOOKUP(B125,formules!E:L,8,0))</f>
        <v>39.9</v>
      </c>
      <c r="H125" s="1" t="str">
        <f t="shared" si="8"/>
        <v>Size</v>
      </c>
      <c r="I125" s="1" t="s">
        <v>171</v>
      </c>
      <c r="J125" s="1">
        <f t="shared" si="9"/>
        <v>1</v>
      </c>
    </row>
    <row r="126" spans="1:10" x14ac:dyDescent="0.2">
      <c r="A126" s="1" t="str">
        <f t="shared" si="5"/>
        <v>variation</v>
      </c>
      <c r="B126" s="1" t="s">
        <v>197</v>
      </c>
      <c r="C126" s="15">
        <f t="shared" ca="1" si="6"/>
        <v>1304504169358</v>
      </c>
      <c r="D126" s="1" t="str">
        <f>IF(ISBLANK(B126),"",VLOOKUP(B126,formules!E:F,2,0))</f>
        <v>Striped balloon mini skirt blue</v>
      </c>
      <c r="E126" s="1">
        <f t="shared" si="7"/>
        <v>1</v>
      </c>
      <c r="F126" s="17">
        <f>IF(ISBLANK(B126),"",VLOOKUP(B126,formules!E:K,7,0))</f>
        <v>25.9</v>
      </c>
      <c r="G126" s="17">
        <f>IF(ISBLANK(B126),"",VLOOKUP(B126,formules!E:L,8,0))</f>
        <v>39.9</v>
      </c>
      <c r="H126" s="1" t="str">
        <f t="shared" si="8"/>
        <v>Size</v>
      </c>
      <c r="I126" s="1" t="s">
        <v>172</v>
      </c>
      <c r="J126" s="1">
        <f t="shared" si="9"/>
        <v>1</v>
      </c>
    </row>
    <row r="127" spans="1:10" x14ac:dyDescent="0.2">
      <c r="A127" s="1" t="str">
        <f t="shared" si="5"/>
        <v>variation</v>
      </c>
      <c r="B127" s="1" t="s">
        <v>198</v>
      </c>
      <c r="C127" s="15">
        <f t="shared" ca="1" si="6"/>
        <v>1228532834201</v>
      </c>
      <c r="D127" s="1" t="str">
        <f>IF(ISBLANK(B127),"",VLOOKUP(B127,formules!E:F,2,0))</f>
        <v>Purl knit vest red</v>
      </c>
      <c r="E127" s="1">
        <f t="shared" si="7"/>
        <v>1</v>
      </c>
      <c r="F127" s="17">
        <f>IF(ISBLANK(B127),"",VLOOKUP(B127,formules!E:K,7,0))</f>
        <v>35.9</v>
      </c>
      <c r="G127" s="17">
        <f>IF(ISBLANK(B127),"",VLOOKUP(B127,formules!E:L,8,0))</f>
        <v>47.9</v>
      </c>
      <c r="H127" s="1" t="str">
        <f t="shared" si="8"/>
        <v>Size</v>
      </c>
      <c r="I127" s="1" t="s">
        <v>170</v>
      </c>
      <c r="J127" s="1">
        <f t="shared" si="9"/>
        <v>1</v>
      </c>
    </row>
    <row r="128" spans="1:10" x14ac:dyDescent="0.2">
      <c r="A128" s="1" t="str">
        <f t="shared" si="5"/>
        <v>variation</v>
      </c>
      <c r="B128" s="1" t="s">
        <v>198</v>
      </c>
      <c r="C128" s="15">
        <f t="shared" ca="1" si="6"/>
        <v>3324936822481</v>
      </c>
      <c r="D128" s="1" t="str">
        <f>IF(ISBLANK(B128),"",VLOOKUP(B128,formules!E:F,2,0))</f>
        <v>Purl knit vest red</v>
      </c>
      <c r="E128" s="1">
        <f t="shared" si="7"/>
        <v>1</v>
      </c>
      <c r="F128" s="17">
        <f>IF(ISBLANK(B128),"",VLOOKUP(B128,formules!E:K,7,0))</f>
        <v>35.9</v>
      </c>
      <c r="G128" s="17">
        <f>IF(ISBLANK(B128),"",VLOOKUP(B128,formules!E:L,8,0))</f>
        <v>47.9</v>
      </c>
      <c r="H128" s="1" t="str">
        <f t="shared" si="8"/>
        <v>Size</v>
      </c>
      <c r="I128" s="1" t="s">
        <v>10</v>
      </c>
      <c r="J128" s="1">
        <f t="shared" si="9"/>
        <v>1</v>
      </c>
    </row>
    <row r="129" spans="1:10" x14ac:dyDescent="0.2">
      <c r="A129" s="1" t="str">
        <f t="shared" si="5"/>
        <v>variation</v>
      </c>
      <c r="B129" s="1" t="s">
        <v>198</v>
      </c>
      <c r="C129" s="15">
        <f t="shared" ca="1" si="6"/>
        <v>3012341147883</v>
      </c>
      <c r="D129" s="1" t="str">
        <f>IF(ISBLANK(B129),"",VLOOKUP(B129,formules!E:F,2,0))</f>
        <v>Purl knit vest red</v>
      </c>
      <c r="E129" s="1">
        <f t="shared" si="7"/>
        <v>1</v>
      </c>
      <c r="F129" s="17">
        <f>IF(ISBLANK(B129),"",VLOOKUP(B129,formules!E:K,7,0))</f>
        <v>35.9</v>
      </c>
      <c r="G129" s="17">
        <f>IF(ISBLANK(B129),"",VLOOKUP(B129,formules!E:L,8,0))</f>
        <v>47.9</v>
      </c>
      <c r="H129" s="1" t="str">
        <f t="shared" si="8"/>
        <v>Size</v>
      </c>
      <c r="I129" s="1" t="s">
        <v>96</v>
      </c>
      <c r="J129" s="1">
        <f t="shared" si="9"/>
        <v>1</v>
      </c>
    </row>
    <row r="130" spans="1:10" x14ac:dyDescent="0.2">
      <c r="A130" s="1" t="str">
        <f t="shared" si="5"/>
        <v>variation</v>
      </c>
      <c r="B130" s="1" t="s">
        <v>198</v>
      </c>
      <c r="C130" s="15">
        <f t="shared" ca="1" si="6"/>
        <v>3300086431351</v>
      </c>
      <c r="D130" s="1" t="str">
        <f>IF(ISBLANK(B130),"",VLOOKUP(B130,formules!E:F,2,0))</f>
        <v>Purl knit vest red</v>
      </c>
      <c r="E130" s="1">
        <f t="shared" si="7"/>
        <v>1</v>
      </c>
      <c r="F130" s="17">
        <f>IF(ISBLANK(B130),"",VLOOKUP(B130,formules!E:K,7,0))</f>
        <v>35.9</v>
      </c>
      <c r="G130" s="17">
        <f>IF(ISBLANK(B130),"",VLOOKUP(B130,formules!E:L,8,0))</f>
        <v>47.9</v>
      </c>
      <c r="H130" s="1" t="str">
        <f t="shared" si="8"/>
        <v>Size</v>
      </c>
      <c r="I130" s="1" t="s">
        <v>171</v>
      </c>
      <c r="J130" s="1">
        <f t="shared" si="9"/>
        <v>1</v>
      </c>
    </row>
    <row r="131" spans="1:10" x14ac:dyDescent="0.2">
      <c r="A131" s="1" t="str">
        <f t="shared" ref="A131:A194" si="10">IF(ISBLANK(B131),"","variation")</f>
        <v>variation</v>
      </c>
      <c r="B131" s="1" t="s">
        <v>199</v>
      </c>
      <c r="C131" s="15">
        <f t="shared" ref="C131:C194" ca="1" si="11">IF(ISBLANK(B131),"",RANDBETWEEN(1111111111111,9999999999999))</f>
        <v>5982655783499</v>
      </c>
      <c r="D131" s="1" t="str">
        <f>IF(ISBLANK(B131),"",VLOOKUP(B131,formules!E:F,2,0))</f>
        <v>Purl knit vest black</v>
      </c>
      <c r="E131" s="1">
        <f t="shared" ref="E131:E194" si="12">IF(ISBLANK(B131),"",1)</f>
        <v>1</v>
      </c>
      <c r="F131" s="17">
        <f>IF(ISBLANK(B131),"",VLOOKUP(B131,formules!E:K,7,0))</f>
        <v>35.9</v>
      </c>
      <c r="G131" s="17">
        <f>IF(ISBLANK(B131),"",VLOOKUP(B131,formules!E:L,8,0))</f>
        <v>47.9</v>
      </c>
      <c r="H131" s="1" t="str">
        <f t="shared" ref="H131:H194" si="13">IF(ISBLANK(B131),"","Size")</f>
        <v>Size</v>
      </c>
      <c r="I131" s="1" t="s">
        <v>170</v>
      </c>
      <c r="J131" s="1">
        <f t="shared" ref="J131:J194" si="14">IF(ISBLANK(B131),"",1)</f>
        <v>1</v>
      </c>
    </row>
    <row r="132" spans="1:10" x14ac:dyDescent="0.2">
      <c r="A132" s="1" t="str">
        <f t="shared" si="10"/>
        <v>variation</v>
      </c>
      <c r="B132" s="1" t="s">
        <v>199</v>
      </c>
      <c r="C132" s="15">
        <f t="shared" ca="1" si="11"/>
        <v>5756580472559</v>
      </c>
      <c r="D132" s="1" t="str">
        <f>IF(ISBLANK(B132),"",VLOOKUP(B132,formules!E:F,2,0))</f>
        <v>Purl knit vest black</v>
      </c>
      <c r="E132" s="1">
        <f t="shared" si="12"/>
        <v>1</v>
      </c>
      <c r="F132" s="17">
        <f>IF(ISBLANK(B132),"",VLOOKUP(B132,formules!E:K,7,0))</f>
        <v>35.9</v>
      </c>
      <c r="G132" s="17">
        <f>IF(ISBLANK(B132),"",VLOOKUP(B132,formules!E:L,8,0))</f>
        <v>47.9</v>
      </c>
      <c r="H132" s="1" t="str">
        <f t="shared" si="13"/>
        <v>Size</v>
      </c>
      <c r="I132" s="1" t="s">
        <v>10</v>
      </c>
      <c r="J132" s="1">
        <f t="shared" si="14"/>
        <v>1</v>
      </c>
    </row>
    <row r="133" spans="1:10" x14ac:dyDescent="0.2">
      <c r="A133" s="1" t="str">
        <f t="shared" si="10"/>
        <v>variation</v>
      </c>
      <c r="B133" s="1" t="s">
        <v>199</v>
      </c>
      <c r="C133" s="15">
        <f t="shared" ca="1" si="11"/>
        <v>1611216670408</v>
      </c>
      <c r="D133" s="1" t="str">
        <f>IF(ISBLANK(B133),"",VLOOKUP(B133,formules!E:F,2,0))</f>
        <v>Purl knit vest black</v>
      </c>
      <c r="E133" s="1">
        <f t="shared" si="12"/>
        <v>1</v>
      </c>
      <c r="F133" s="17">
        <f>IF(ISBLANK(B133),"",VLOOKUP(B133,formules!E:K,7,0))</f>
        <v>35.9</v>
      </c>
      <c r="G133" s="17">
        <f>IF(ISBLANK(B133),"",VLOOKUP(B133,formules!E:L,8,0))</f>
        <v>47.9</v>
      </c>
      <c r="H133" s="1" t="str">
        <f t="shared" si="13"/>
        <v>Size</v>
      </c>
      <c r="I133" s="1" t="s">
        <v>96</v>
      </c>
      <c r="J133" s="1">
        <f t="shared" si="14"/>
        <v>1</v>
      </c>
    </row>
    <row r="134" spans="1:10" x14ac:dyDescent="0.2">
      <c r="A134" s="1" t="str">
        <f t="shared" si="10"/>
        <v>variation</v>
      </c>
      <c r="B134" s="1" t="s">
        <v>199</v>
      </c>
      <c r="C134" s="15">
        <f t="shared" ca="1" si="11"/>
        <v>6692260141700</v>
      </c>
      <c r="D134" s="1" t="str">
        <f>IF(ISBLANK(B134),"",VLOOKUP(B134,formules!E:F,2,0))</f>
        <v>Purl knit vest black</v>
      </c>
      <c r="E134" s="1">
        <f t="shared" si="12"/>
        <v>1</v>
      </c>
      <c r="F134" s="17">
        <f>IF(ISBLANK(B134),"",VLOOKUP(B134,formules!E:K,7,0))</f>
        <v>35.9</v>
      </c>
      <c r="G134" s="17">
        <f>IF(ISBLANK(B134),"",VLOOKUP(B134,formules!E:L,8,0))</f>
        <v>47.9</v>
      </c>
      <c r="H134" s="1" t="str">
        <f t="shared" si="13"/>
        <v>Size</v>
      </c>
      <c r="I134" s="1" t="s">
        <v>171</v>
      </c>
      <c r="J134" s="1">
        <f t="shared" si="14"/>
        <v>1</v>
      </c>
    </row>
    <row r="135" spans="1:10" x14ac:dyDescent="0.2">
      <c r="A135" s="1" t="str">
        <f t="shared" si="10"/>
        <v>variation</v>
      </c>
      <c r="B135" s="1" t="s">
        <v>200</v>
      </c>
      <c r="C135" s="15">
        <f t="shared" ca="1" si="11"/>
        <v>9158167244893</v>
      </c>
      <c r="D135" s="1" t="str">
        <f>IF(ISBLANK(B135),"",VLOOKUP(B135,formules!E:F,2,0))</f>
        <v>Purl knit vest pale khaki</v>
      </c>
      <c r="E135" s="1">
        <f t="shared" si="12"/>
        <v>1</v>
      </c>
      <c r="F135" s="17">
        <f>IF(ISBLANK(B135),"",VLOOKUP(B135,formules!E:K,7,0))</f>
        <v>35.9</v>
      </c>
      <c r="G135" s="17">
        <f>IF(ISBLANK(B135),"",VLOOKUP(B135,formules!E:L,8,0))</f>
        <v>47.9</v>
      </c>
      <c r="H135" s="1" t="str">
        <f t="shared" si="13"/>
        <v>Size</v>
      </c>
      <c r="I135" s="1" t="s">
        <v>170</v>
      </c>
      <c r="J135" s="1">
        <f t="shared" si="14"/>
        <v>1</v>
      </c>
    </row>
    <row r="136" spans="1:10" x14ac:dyDescent="0.2">
      <c r="A136" s="1" t="str">
        <f t="shared" si="10"/>
        <v>variation</v>
      </c>
      <c r="B136" s="1" t="s">
        <v>200</v>
      </c>
      <c r="C136" s="15">
        <f t="shared" ca="1" si="11"/>
        <v>1857788273152</v>
      </c>
      <c r="D136" s="1" t="str">
        <f>IF(ISBLANK(B136),"",VLOOKUP(B136,formules!E:F,2,0))</f>
        <v>Purl knit vest pale khaki</v>
      </c>
      <c r="E136" s="1">
        <f t="shared" si="12"/>
        <v>1</v>
      </c>
      <c r="F136" s="17">
        <f>IF(ISBLANK(B136),"",VLOOKUP(B136,formules!E:K,7,0))</f>
        <v>35.9</v>
      </c>
      <c r="G136" s="17">
        <f>IF(ISBLANK(B136),"",VLOOKUP(B136,formules!E:L,8,0))</f>
        <v>47.9</v>
      </c>
      <c r="H136" s="1" t="str">
        <f t="shared" si="13"/>
        <v>Size</v>
      </c>
      <c r="I136" s="1" t="s">
        <v>10</v>
      </c>
      <c r="J136" s="1">
        <f t="shared" si="14"/>
        <v>1</v>
      </c>
    </row>
    <row r="137" spans="1:10" x14ac:dyDescent="0.2">
      <c r="A137" s="1" t="str">
        <f t="shared" si="10"/>
        <v>variation</v>
      </c>
      <c r="B137" s="1" t="s">
        <v>200</v>
      </c>
      <c r="C137" s="15">
        <f t="shared" ca="1" si="11"/>
        <v>3454128542268</v>
      </c>
      <c r="D137" s="1" t="str">
        <f>IF(ISBLANK(B137),"",VLOOKUP(B137,formules!E:F,2,0))</f>
        <v>Purl knit vest pale khaki</v>
      </c>
      <c r="E137" s="1">
        <f t="shared" si="12"/>
        <v>1</v>
      </c>
      <c r="F137" s="17">
        <f>IF(ISBLANK(B137),"",VLOOKUP(B137,formules!E:K,7,0))</f>
        <v>35.9</v>
      </c>
      <c r="G137" s="17">
        <f>IF(ISBLANK(B137),"",VLOOKUP(B137,formules!E:L,8,0))</f>
        <v>47.9</v>
      </c>
      <c r="H137" s="1" t="str">
        <f t="shared" si="13"/>
        <v>Size</v>
      </c>
      <c r="I137" s="1" t="s">
        <v>96</v>
      </c>
      <c r="J137" s="1">
        <f t="shared" si="14"/>
        <v>1</v>
      </c>
    </row>
    <row r="138" spans="1:10" x14ac:dyDescent="0.2">
      <c r="A138" s="1" t="str">
        <f t="shared" si="10"/>
        <v>variation</v>
      </c>
      <c r="B138" s="1" t="s">
        <v>200</v>
      </c>
      <c r="C138" s="15">
        <f t="shared" ca="1" si="11"/>
        <v>5616164723400</v>
      </c>
      <c r="D138" s="1" t="str">
        <f>IF(ISBLANK(B138),"",VLOOKUP(B138,formules!E:F,2,0))</f>
        <v>Purl knit vest pale khaki</v>
      </c>
      <c r="E138" s="1">
        <f t="shared" si="12"/>
        <v>1</v>
      </c>
      <c r="F138" s="17">
        <f>IF(ISBLANK(B138),"",VLOOKUP(B138,formules!E:K,7,0))</f>
        <v>35.9</v>
      </c>
      <c r="G138" s="17">
        <f>IF(ISBLANK(B138),"",VLOOKUP(B138,formules!E:L,8,0))</f>
        <v>47.9</v>
      </c>
      <c r="H138" s="1" t="str">
        <f t="shared" si="13"/>
        <v>Size</v>
      </c>
      <c r="I138" s="1" t="s">
        <v>171</v>
      </c>
      <c r="J138" s="1">
        <f t="shared" si="14"/>
        <v>1</v>
      </c>
    </row>
    <row r="139" spans="1:10" x14ac:dyDescent="0.2">
      <c r="A139" s="1" t="str">
        <f t="shared" si="10"/>
        <v>variation</v>
      </c>
      <c r="B139" s="1" t="s">
        <v>201</v>
      </c>
      <c r="C139" s="15">
        <f t="shared" ca="1" si="11"/>
        <v>9547319738799</v>
      </c>
      <c r="D139" s="1" t="str">
        <f>IF(ISBLANK(B139),"",VLOOKUP(B139,formules!E:F,2,0))</f>
        <v>Faded sweatshirt pale grey</v>
      </c>
      <c r="E139" s="1">
        <f t="shared" si="12"/>
        <v>1</v>
      </c>
      <c r="F139" s="17">
        <f>IF(ISBLANK(B139),"",VLOOKUP(B139,formules!E:K,7,0))</f>
        <v>17.899999999999999</v>
      </c>
      <c r="G139" s="17">
        <f>IF(ISBLANK(B139),"",VLOOKUP(B139,formules!E:L,8,0))</f>
        <v>35.9</v>
      </c>
      <c r="H139" s="1" t="str">
        <f t="shared" si="13"/>
        <v>Size</v>
      </c>
      <c r="I139" s="1" t="s">
        <v>202</v>
      </c>
      <c r="J139" s="1">
        <f t="shared" si="14"/>
        <v>1</v>
      </c>
    </row>
    <row r="140" spans="1:10" x14ac:dyDescent="0.2">
      <c r="A140" s="1" t="str">
        <f t="shared" si="10"/>
        <v>variation</v>
      </c>
      <c r="B140" s="1" t="s">
        <v>201</v>
      </c>
      <c r="C140" s="15">
        <f t="shared" ca="1" si="11"/>
        <v>9942109204178</v>
      </c>
      <c r="D140" s="1" t="str">
        <f>IF(ISBLANK(B140),"",VLOOKUP(B140,formules!E:F,2,0))</f>
        <v>Faded sweatshirt pale grey</v>
      </c>
      <c r="E140" s="1">
        <f t="shared" si="12"/>
        <v>1</v>
      </c>
      <c r="F140" s="17">
        <f>IF(ISBLANK(B140),"",VLOOKUP(B140,formules!E:K,7,0))</f>
        <v>17.899999999999999</v>
      </c>
      <c r="G140" s="17">
        <f>IF(ISBLANK(B140),"",VLOOKUP(B140,formules!E:L,8,0))</f>
        <v>35.9</v>
      </c>
      <c r="H140" s="1" t="str">
        <f t="shared" si="13"/>
        <v>Size</v>
      </c>
      <c r="I140" s="1" t="s">
        <v>170</v>
      </c>
      <c r="J140" s="1">
        <f t="shared" si="14"/>
        <v>1</v>
      </c>
    </row>
    <row r="141" spans="1:10" x14ac:dyDescent="0.2">
      <c r="A141" s="1" t="str">
        <f t="shared" si="10"/>
        <v>variation</v>
      </c>
      <c r="B141" s="1" t="s">
        <v>201</v>
      </c>
      <c r="C141" s="15">
        <f t="shared" ca="1" si="11"/>
        <v>6333801224272</v>
      </c>
      <c r="D141" s="1" t="str">
        <f>IF(ISBLANK(B141),"",VLOOKUP(B141,formules!E:F,2,0))</f>
        <v>Faded sweatshirt pale grey</v>
      </c>
      <c r="E141" s="1">
        <f t="shared" si="12"/>
        <v>1</v>
      </c>
      <c r="F141" s="17">
        <f>IF(ISBLANK(B141),"",VLOOKUP(B141,formules!E:K,7,0))</f>
        <v>17.899999999999999</v>
      </c>
      <c r="G141" s="17">
        <f>IF(ISBLANK(B141),"",VLOOKUP(B141,formules!E:L,8,0))</f>
        <v>35.9</v>
      </c>
      <c r="H141" s="1" t="str">
        <f t="shared" si="13"/>
        <v>Size</v>
      </c>
      <c r="I141" s="1" t="s">
        <v>10</v>
      </c>
      <c r="J141" s="1">
        <f t="shared" si="14"/>
        <v>1</v>
      </c>
    </row>
    <row r="142" spans="1:10" x14ac:dyDescent="0.2">
      <c r="A142" s="1" t="str">
        <f t="shared" si="10"/>
        <v>variation</v>
      </c>
      <c r="B142" s="1" t="s">
        <v>201</v>
      </c>
      <c r="C142" s="15">
        <f t="shared" ca="1" si="11"/>
        <v>9273417381342</v>
      </c>
      <c r="D142" s="1" t="str">
        <f>IF(ISBLANK(B142),"",VLOOKUP(B142,formules!E:F,2,0))</f>
        <v>Faded sweatshirt pale grey</v>
      </c>
      <c r="E142" s="1">
        <f t="shared" si="12"/>
        <v>1</v>
      </c>
      <c r="F142" s="17">
        <f>IF(ISBLANK(B142),"",VLOOKUP(B142,formules!E:K,7,0))</f>
        <v>17.899999999999999</v>
      </c>
      <c r="G142" s="17">
        <f>IF(ISBLANK(B142),"",VLOOKUP(B142,formules!E:L,8,0))</f>
        <v>35.9</v>
      </c>
      <c r="H142" s="1" t="str">
        <f t="shared" si="13"/>
        <v>Size</v>
      </c>
      <c r="I142" s="1" t="s">
        <v>96</v>
      </c>
      <c r="J142" s="1">
        <f t="shared" si="14"/>
        <v>1</v>
      </c>
    </row>
    <row r="143" spans="1:10" x14ac:dyDescent="0.2">
      <c r="A143" s="1" t="str">
        <f t="shared" si="10"/>
        <v>variation</v>
      </c>
      <c r="B143" s="1" t="s">
        <v>201</v>
      </c>
      <c r="C143" s="15">
        <f t="shared" ca="1" si="11"/>
        <v>6092623560027</v>
      </c>
      <c r="D143" s="1" t="str">
        <f>IF(ISBLANK(B143),"",VLOOKUP(B143,formules!E:F,2,0))</f>
        <v>Faded sweatshirt pale grey</v>
      </c>
      <c r="E143" s="1">
        <f t="shared" si="12"/>
        <v>1</v>
      </c>
      <c r="F143" s="17">
        <f>IF(ISBLANK(B143),"",VLOOKUP(B143,formules!E:K,7,0))</f>
        <v>17.899999999999999</v>
      </c>
      <c r="G143" s="17">
        <f>IF(ISBLANK(B143),"",VLOOKUP(B143,formules!E:L,8,0))</f>
        <v>35.9</v>
      </c>
      <c r="H143" s="1" t="str">
        <f t="shared" si="13"/>
        <v>Size</v>
      </c>
      <c r="I143" s="1" t="s">
        <v>171</v>
      </c>
      <c r="J143" s="1">
        <f t="shared" si="14"/>
        <v>1</v>
      </c>
    </row>
    <row r="144" spans="1:10" x14ac:dyDescent="0.2">
      <c r="A144" s="1" t="str">
        <f t="shared" si="10"/>
        <v>variation</v>
      </c>
      <c r="B144" s="1" t="s">
        <v>201</v>
      </c>
      <c r="C144" s="15">
        <f t="shared" ca="1" si="11"/>
        <v>2429290685010</v>
      </c>
      <c r="D144" s="1" t="str">
        <f>IF(ISBLANK(B144),"",VLOOKUP(B144,formules!E:F,2,0))</f>
        <v>Faded sweatshirt pale grey</v>
      </c>
      <c r="E144" s="1">
        <f t="shared" si="12"/>
        <v>1</v>
      </c>
      <c r="F144" s="17">
        <f>IF(ISBLANK(B144),"",VLOOKUP(B144,formules!E:K,7,0))</f>
        <v>17.899999999999999</v>
      </c>
      <c r="G144" s="17">
        <f>IF(ISBLANK(B144),"",VLOOKUP(B144,formules!E:L,8,0))</f>
        <v>35.9</v>
      </c>
      <c r="H144" s="1" t="str">
        <f t="shared" si="13"/>
        <v>Size</v>
      </c>
      <c r="I144" s="1" t="s">
        <v>172</v>
      </c>
      <c r="J144" s="1">
        <f t="shared" si="14"/>
        <v>1</v>
      </c>
    </row>
    <row r="145" spans="1:10" x14ac:dyDescent="0.2">
      <c r="A145" s="1" t="str">
        <f t="shared" si="10"/>
        <v>variation</v>
      </c>
      <c r="B145" s="1" t="s">
        <v>203</v>
      </c>
      <c r="C145" s="15">
        <f t="shared" ca="1" si="11"/>
        <v>9900882502040</v>
      </c>
      <c r="D145" s="1" t="str">
        <f>IF(ISBLANK(B145),"",VLOOKUP(B145,formules!E:F,2,0))</f>
        <v>Faded sweatshirt ındigo</v>
      </c>
      <c r="E145" s="1">
        <f t="shared" si="12"/>
        <v>1</v>
      </c>
      <c r="F145" s="17">
        <f>IF(ISBLANK(B145),"",VLOOKUP(B145,formules!E:K,7,0))</f>
        <v>17.899999999999999</v>
      </c>
      <c r="G145" s="17">
        <f>IF(ISBLANK(B145),"",VLOOKUP(B145,formules!E:L,8,0))</f>
        <v>35.9</v>
      </c>
      <c r="H145" s="1" t="str">
        <f t="shared" si="13"/>
        <v>Size</v>
      </c>
      <c r="I145" s="1" t="s">
        <v>202</v>
      </c>
      <c r="J145" s="1">
        <f t="shared" si="14"/>
        <v>1</v>
      </c>
    </row>
    <row r="146" spans="1:10" x14ac:dyDescent="0.2">
      <c r="A146" s="1" t="str">
        <f t="shared" si="10"/>
        <v>variation</v>
      </c>
      <c r="B146" s="1" t="s">
        <v>203</v>
      </c>
      <c r="C146" s="15">
        <f t="shared" ca="1" si="11"/>
        <v>5469026974008</v>
      </c>
      <c r="D146" s="1" t="str">
        <f>IF(ISBLANK(B146),"",VLOOKUP(B146,formules!E:F,2,0))</f>
        <v>Faded sweatshirt ındigo</v>
      </c>
      <c r="E146" s="1">
        <f t="shared" si="12"/>
        <v>1</v>
      </c>
      <c r="F146" s="17">
        <f>IF(ISBLANK(B146),"",VLOOKUP(B146,formules!E:K,7,0))</f>
        <v>17.899999999999999</v>
      </c>
      <c r="G146" s="17">
        <f>IF(ISBLANK(B146),"",VLOOKUP(B146,formules!E:L,8,0))</f>
        <v>35.9</v>
      </c>
      <c r="H146" s="1" t="str">
        <f t="shared" si="13"/>
        <v>Size</v>
      </c>
      <c r="I146" s="1" t="s">
        <v>170</v>
      </c>
      <c r="J146" s="1">
        <f t="shared" si="14"/>
        <v>1</v>
      </c>
    </row>
    <row r="147" spans="1:10" x14ac:dyDescent="0.2">
      <c r="A147" s="1" t="str">
        <f t="shared" si="10"/>
        <v>variation</v>
      </c>
      <c r="B147" s="1" t="s">
        <v>203</v>
      </c>
      <c r="C147" s="15">
        <f t="shared" ca="1" si="11"/>
        <v>2930888629406</v>
      </c>
      <c r="D147" s="1" t="str">
        <f>IF(ISBLANK(B147),"",VLOOKUP(B147,formules!E:F,2,0))</f>
        <v>Faded sweatshirt ındigo</v>
      </c>
      <c r="E147" s="1">
        <f t="shared" si="12"/>
        <v>1</v>
      </c>
      <c r="F147" s="17">
        <f>IF(ISBLANK(B147),"",VLOOKUP(B147,formules!E:K,7,0))</f>
        <v>17.899999999999999</v>
      </c>
      <c r="G147" s="17">
        <f>IF(ISBLANK(B147),"",VLOOKUP(B147,formules!E:L,8,0))</f>
        <v>35.9</v>
      </c>
      <c r="H147" s="1" t="str">
        <f t="shared" si="13"/>
        <v>Size</v>
      </c>
      <c r="I147" s="1" t="s">
        <v>10</v>
      </c>
      <c r="J147" s="1">
        <f t="shared" si="14"/>
        <v>1</v>
      </c>
    </row>
    <row r="148" spans="1:10" x14ac:dyDescent="0.2">
      <c r="A148" s="1" t="str">
        <f t="shared" si="10"/>
        <v>variation</v>
      </c>
      <c r="B148" s="1" t="s">
        <v>203</v>
      </c>
      <c r="C148" s="15">
        <f t="shared" ca="1" si="11"/>
        <v>6715078496182</v>
      </c>
      <c r="D148" s="1" t="str">
        <f>IF(ISBLANK(B148),"",VLOOKUP(B148,formules!E:F,2,0))</f>
        <v>Faded sweatshirt ındigo</v>
      </c>
      <c r="E148" s="1">
        <f t="shared" si="12"/>
        <v>1</v>
      </c>
      <c r="F148" s="17">
        <f>IF(ISBLANK(B148),"",VLOOKUP(B148,formules!E:K,7,0))</f>
        <v>17.899999999999999</v>
      </c>
      <c r="G148" s="17">
        <f>IF(ISBLANK(B148),"",VLOOKUP(B148,formules!E:L,8,0))</f>
        <v>35.9</v>
      </c>
      <c r="H148" s="1" t="str">
        <f t="shared" si="13"/>
        <v>Size</v>
      </c>
      <c r="I148" s="1" t="s">
        <v>96</v>
      </c>
      <c r="J148" s="1">
        <f t="shared" si="14"/>
        <v>1</v>
      </c>
    </row>
    <row r="149" spans="1:10" x14ac:dyDescent="0.2">
      <c r="A149" s="1" t="str">
        <f t="shared" si="10"/>
        <v>variation</v>
      </c>
      <c r="B149" s="1" t="s">
        <v>203</v>
      </c>
      <c r="C149" s="15">
        <f t="shared" ca="1" si="11"/>
        <v>2888915348299</v>
      </c>
      <c r="D149" s="1" t="str">
        <f>IF(ISBLANK(B149),"",VLOOKUP(B149,formules!E:F,2,0))</f>
        <v>Faded sweatshirt ındigo</v>
      </c>
      <c r="E149" s="1">
        <f t="shared" si="12"/>
        <v>1</v>
      </c>
      <c r="F149" s="17">
        <f>IF(ISBLANK(B149),"",VLOOKUP(B149,formules!E:K,7,0))</f>
        <v>17.899999999999999</v>
      </c>
      <c r="G149" s="17">
        <f>IF(ISBLANK(B149),"",VLOOKUP(B149,formules!E:L,8,0))</f>
        <v>35.9</v>
      </c>
      <c r="H149" s="1" t="str">
        <f t="shared" si="13"/>
        <v>Size</v>
      </c>
      <c r="I149" s="1" t="s">
        <v>171</v>
      </c>
      <c r="J149" s="1">
        <f t="shared" si="14"/>
        <v>1</v>
      </c>
    </row>
    <row r="150" spans="1:10" x14ac:dyDescent="0.2">
      <c r="A150" s="1" t="str">
        <f t="shared" si="10"/>
        <v>variation</v>
      </c>
      <c r="B150" s="1" t="s">
        <v>203</v>
      </c>
      <c r="C150" s="15">
        <f t="shared" ca="1" si="11"/>
        <v>8037435776245</v>
      </c>
      <c r="D150" s="1" t="str">
        <f>IF(ISBLANK(B150),"",VLOOKUP(B150,formules!E:F,2,0))</f>
        <v>Faded sweatshirt ındigo</v>
      </c>
      <c r="E150" s="1">
        <f t="shared" si="12"/>
        <v>1</v>
      </c>
      <c r="F150" s="17">
        <f>IF(ISBLANK(B150),"",VLOOKUP(B150,formules!E:K,7,0))</f>
        <v>17.899999999999999</v>
      </c>
      <c r="G150" s="17">
        <f>IF(ISBLANK(B150),"",VLOOKUP(B150,formules!E:L,8,0))</f>
        <v>35.9</v>
      </c>
      <c r="H150" s="1" t="str">
        <f t="shared" si="13"/>
        <v>Size</v>
      </c>
      <c r="I150" s="1" t="s">
        <v>172</v>
      </c>
      <c r="J150" s="1">
        <f t="shared" si="14"/>
        <v>1</v>
      </c>
    </row>
    <row r="151" spans="1:10" x14ac:dyDescent="0.2">
      <c r="A151" s="1" t="str">
        <f t="shared" si="10"/>
        <v>variation</v>
      </c>
      <c r="B151" s="1" t="s">
        <v>204</v>
      </c>
      <c r="C151" s="15">
        <f t="shared" ca="1" si="11"/>
        <v>5629071871733</v>
      </c>
      <c r="D151" s="1" t="str">
        <f>IF(ISBLANK(B151),"",VLOOKUP(B151,formules!E:F,2,0))</f>
        <v>Faded sweatshirt pale khaki</v>
      </c>
      <c r="E151" s="1">
        <f t="shared" si="12"/>
        <v>1</v>
      </c>
      <c r="F151" s="17">
        <f>IF(ISBLANK(B151),"",VLOOKUP(B151,formules!E:K,7,0))</f>
        <v>17.899999999999999</v>
      </c>
      <c r="G151" s="17">
        <f>IF(ISBLANK(B151),"",VLOOKUP(B151,formules!E:L,8,0))</f>
        <v>35.9</v>
      </c>
      <c r="H151" s="1" t="str">
        <f t="shared" si="13"/>
        <v>Size</v>
      </c>
      <c r="I151" s="1" t="s">
        <v>202</v>
      </c>
      <c r="J151" s="1">
        <f t="shared" si="14"/>
        <v>1</v>
      </c>
    </row>
    <row r="152" spans="1:10" x14ac:dyDescent="0.2">
      <c r="A152" s="1" t="str">
        <f t="shared" si="10"/>
        <v>variation</v>
      </c>
      <c r="B152" s="1" t="s">
        <v>204</v>
      </c>
      <c r="C152" s="15">
        <f t="shared" ca="1" si="11"/>
        <v>1882809892820</v>
      </c>
      <c r="D152" s="1" t="str">
        <f>IF(ISBLANK(B152),"",VLOOKUP(B152,formules!E:F,2,0))</f>
        <v>Faded sweatshirt pale khaki</v>
      </c>
      <c r="E152" s="1">
        <f t="shared" si="12"/>
        <v>1</v>
      </c>
      <c r="F152" s="17">
        <f>IF(ISBLANK(B152),"",VLOOKUP(B152,formules!E:K,7,0))</f>
        <v>17.899999999999999</v>
      </c>
      <c r="G152" s="17">
        <f>IF(ISBLANK(B152),"",VLOOKUP(B152,formules!E:L,8,0))</f>
        <v>35.9</v>
      </c>
      <c r="H152" s="1" t="str">
        <f t="shared" si="13"/>
        <v>Size</v>
      </c>
      <c r="I152" s="1" t="s">
        <v>170</v>
      </c>
      <c r="J152" s="1">
        <f t="shared" si="14"/>
        <v>1</v>
      </c>
    </row>
    <row r="153" spans="1:10" x14ac:dyDescent="0.2">
      <c r="A153" s="1" t="str">
        <f t="shared" si="10"/>
        <v>variation</v>
      </c>
      <c r="B153" s="1" t="s">
        <v>204</v>
      </c>
      <c r="C153" s="15">
        <f t="shared" ca="1" si="11"/>
        <v>4955629899530</v>
      </c>
      <c r="D153" s="1" t="str">
        <f>IF(ISBLANK(B153),"",VLOOKUP(B153,formules!E:F,2,0))</f>
        <v>Faded sweatshirt pale khaki</v>
      </c>
      <c r="E153" s="1">
        <f t="shared" si="12"/>
        <v>1</v>
      </c>
      <c r="F153" s="17">
        <f>IF(ISBLANK(B153),"",VLOOKUP(B153,formules!E:K,7,0))</f>
        <v>17.899999999999999</v>
      </c>
      <c r="G153" s="17">
        <f>IF(ISBLANK(B153),"",VLOOKUP(B153,formules!E:L,8,0))</f>
        <v>35.9</v>
      </c>
      <c r="H153" s="1" t="str">
        <f t="shared" si="13"/>
        <v>Size</v>
      </c>
      <c r="I153" s="1" t="s">
        <v>10</v>
      </c>
      <c r="J153" s="1">
        <f t="shared" si="14"/>
        <v>1</v>
      </c>
    </row>
    <row r="154" spans="1:10" x14ac:dyDescent="0.2">
      <c r="A154" s="1" t="str">
        <f t="shared" si="10"/>
        <v>variation</v>
      </c>
      <c r="B154" s="1" t="s">
        <v>204</v>
      </c>
      <c r="C154" s="15">
        <f t="shared" ca="1" si="11"/>
        <v>5574396921715</v>
      </c>
      <c r="D154" s="1" t="str">
        <f>IF(ISBLANK(B154),"",VLOOKUP(B154,formules!E:F,2,0))</f>
        <v>Faded sweatshirt pale khaki</v>
      </c>
      <c r="E154" s="1">
        <f t="shared" si="12"/>
        <v>1</v>
      </c>
      <c r="F154" s="17">
        <f>IF(ISBLANK(B154),"",VLOOKUP(B154,formules!E:K,7,0))</f>
        <v>17.899999999999999</v>
      </c>
      <c r="G154" s="17">
        <f>IF(ISBLANK(B154),"",VLOOKUP(B154,formules!E:L,8,0))</f>
        <v>35.9</v>
      </c>
      <c r="H154" s="1" t="str">
        <f t="shared" si="13"/>
        <v>Size</v>
      </c>
      <c r="I154" s="1" t="s">
        <v>96</v>
      </c>
      <c r="J154" s="1">
        <f t="shared" si="14"/>
        <v>1</v>
      </c>
    </row>
    <row r="155" spans="1:10" x14ac:dyDescent="0.2">
      <c r="A155" s="1" t="str">
        <f t="shared" si="10"/>
        <v>variation</v>
      </c>
      <c r="B155" s="1" t="s">
        <v>204</v>
      </c>
      <c r="C155" s="15">
        <f t="shared" ca="1" si="11"/>
        <v>3914250398908</v>
      </c>
      <c r="D155" s="1" t="str">
        <f>IF(ISBLANK(B155),"",VLOOKUP(B155,formules!E:F,2,0))</f>
        <v>Faded sweatshirt pale khaki</v>
      </c>
      <c r="E155" s="1">
        <f t="shared" si="12"/>
        <v>1</v>
      </c>
      <c r="F155" s="17">
        <f>IF(ISBLANK(B155),"",VLOOKUP(B155,formules!E:K,7,0))</f>
        <v>17.899999999999999</v>
      </c>
      <c r="G155" s="17">
        <f>IF(ISBLANK(B155),"",VLOOKUP(B155,formules!E:L,8,0))</f>
        <v>35.9</v>
      </c>
      <c r="H155" s="1" t="str">
        <f t="shared" si="13"/>
        <v>Size</v>
      </c>
      <c r="I155" s="1" t="s">
        <v>171</v>
      </c>
      <c r="J155" s="1">
        <f t="shared" si="14"/>
        <v>1</v>
      </c>
    </row>
    <row r="156" spans="1:10" x14ac:dyDescent="0.2">
      <c r="A156" s="1" t="str">
        <f t="shared" si="10"/>
        <v>variation</v>
      </c>
      <c r="B156" s="1" t="s">
        <v>204</v>
      </c>
      <c r="C156" s="15">
        <f t="shared" ca="1" si="11"/>
        <v>2640446056380</v>
      </c>
      <c r="D156" s="1" t="str">
        <f>IF(ISBLANK(B156),"",VLOOKUP(B156,formules!E:F,2,0))</f>
        <v>Faded sweatshirt pale khaki</v>
      </c>
      <c r="E156" s="1">
        <f t="shared" si="12"/>
        <v>1</v>
      </c>
      <c r="F156" s="17">
        <f>IF(ISBLANK(B156),"",VLOOKUP(B156,formules!E:K,7,0))</f>
        <v>17.899999999999999</v>
      </c>
      <c r="G156" s="17">
        <f>IF(ISBLANK(B156),"",VLOOKUP(B156,formules!E:L,8,0))</f>
        <v>35.9</v>
      </c>
      <c r="H156" s="1" t="str">
        <f t="shared" si="13"/>
        <v>Size</v>
      </c>
      <c r="I156" s="1" t="s">
        <v>172</v>
      </c>
      <c r="J156" s="1">
        <f t="shared" si="14"/>
        <v>1</v>
      </c>
    </row>
    <row r="157" spans="1:10" x14ac:dyDescent="0.2">
      <c r="A157" s="1" t="str">
        <f t="shared" si="10"/>
        <v>variation</v>
      </c>
      <c r="B157" s="1" t="s">
        <v>205</v>
      </c>
      <c r="C157" s="15">
        <f t="shared" ca="1" si="11"/>
        <v>7764997852488</v>
      </c>
      <c r="D157" s="1" t="str">
        <f>IF(ISBLANK(B157),"",VLOOKUP(B157,formules!E:F,2,0))</f>
        <v>Crochet jumpsuit sand</v>
      </c>
      <c r="E157" s="1">
        <f t="shared" si="12"/>
        <v>1</v>
      </c>
      <c r="F157" s="17">
        <f>IF(ISBLANK(B157),"",VLOOKUP(B157,formules!E:K,7,0))</f>
        <v>45.9</v>
      </c>
      <c r="G157" s="17">
        <f>IF(ISBLANK(B157),"",VLOOKUP(B157,formules!E:L,8,0))</f>
        <v>65.900000000000006</v>
      </c>
      <c r="H157" s="1" t="str">
        <f t="shared" si="13"/>
        <v>Size</v>
      </c>
      <c r="I157" s="1" t="s">
        <v>10</v>
      </c>
      <c r="J157" s="1">
        <f t="shared" si="14"/>
        <v>1</v>
      </c>
    </row>
    <row r="158" spans="1:10" x14ac:dyDescent="0.2">
      <c r="A158" s="1" t="str">
        <f t="shared" si="10"/>
        <v>variation</v>
      </c>
      <c r="B158" s="1" t="s">
        <v>205</v>
      </c>
      <c r="C158" s="15">
        <f t="shared" ca="1" si="11"/>
        <v>3773476560146</v>
      </c>
      <c r="D158" s="1" t="str">
        <f>IF(ISBLANK(B158),"",VLOOKUP(B158,formules!E:F,2,0))</f>
        <v>Crochet jumpsuit sand</v>
      </c>
      <c r="E158" s="1">
        <f t="shared" si="12"/>
        <v>1</v>
      </c>
      <c r="F158" s="17">
        <f>IF(ISBLANK(B158),"",VLOOKUP(B158,formules!E:K,7,0))</f>
        <v>45.9</v>
      </c>
      <c r="G158" s="17">
        <f>IF(ISBLANK(B158),"",VLOOKUP(B158,formules!E:L,8,0))</f>
        <v>65.900000000000006</v>
      </c>
      <c r="H158" s="1" t="str">
        <f t="shared" si="13"/>
        <v>Size</v>
      </c>
      <c r="I158" s="1" t="s">
        <v>96</v>
      </c>
      <c r="J158" s="1">
        <f t="shared" si="14"/>
        <v>1</v>
      </c>
    </row>
    <row r="159" spans="1:10" x14ac:dyDescent="0.2">
      <c r="A159" s="1" t="str">
        <f t="shared" si="10"/>
        <v>variation</v>
      </c>
      <c r="B159" s="1" t="s">
        <v>205</v>
      </c>
      <c r="C159" s="15">
        <f t="shared" ca="1" si="11"/>
        <v>4514248364242</v>
      </c>
      <c r="D159" s="1" t="str">
        <f>IF(ISBLANK(B159),"",VLOOKUP(B159,formules!E:F,2,0))</f>
        <v>Crochet jumpsuit sand</v>
      </c>
      <c r="E159" s="1">
        <f t="shared" si="12"/>
        <v>1</v>
      </c>
      <c r="F159" s="17">
        <f>IF(ISBLANK(B159),"",VLOOKUP(B159,formules!E:K,7,0))</f>
        <v>45.9</v>
      </c>
      <c r="G159" s="17">
        <f>IF(ISBLANK(B159),"",VLOOKUP(B159,formules!E:L,8,0))</f>
        <v>65.900000000000006</v>
      </c>
      <c r="H159" s="1" t="str">
        <f t="shared" si="13"/>
        <v>Size</v>
      </c>
      <c r="I159" s="1" t="s">
        <v>171</v>
      </c>
      <c r="J159" s="1">
        <f t="shared" si="14"/>
        <v>1</v>
      </c>
    </row>
    <row r="160" spans="1:10" x14ac:dyDescent="0.2">
      <c r="A160" s="1" t="str">
        <f t="shared" si="10"/>
        <v>variation</v>
      </c>
      <c r="B160" s="1" t="s">
        <v>206</v>
      </c>
      <c r="C160" s="15">
        <f t="shared" ca="1" si="11"/>
        <v>2978501074785</v>
      </c>
      <c r="D160" s="1" t="str">
        <f>IF(ISBLANK(B160),"",VLOOKUP(B160,formules!E:F,2,0))</f>
        <v>Basic mom jeans anthracite grey</v>
      </c>
      <c r="E160" s="1">
        <f t="shared" si="12"/>
        <v>1</v>
      </c>
      <c r="F160" s="17">
        <f>IF(ISBLANK(B160),"",VLOOKUP(B160,formules!E:K,7,0))</f>
        <v>22.9</v>
      </c>
      <c r="G160" s="17">
        <f>IF(ISBLANK(B160),"",VLOOKUP(B160,formules!E:L,8,0))</f>
        <v>35.9</v>
      </c>
      <c r="H160" s="1" t="str">
        <f t="shared" si="13"/>
        <v>Size</v>
      </c>
      <c r="I160" s="1" t="s">
        <v>207</v>
      </c>
      <c r="J160" s="1">
        <f t="shared" si="14"/>
        <v>1</v>
      </c>
    </row>
    <row r="161" spans="1:10" x14ac:dyDescent="0.2">
      <c r="A161" s="1" t="str">
        <f t="shared" si="10"/>
        <v>variation</v>
      </c>
      <c r="B161" s="1" t="s">
        <v>206</v>
      </c>
      <c r="C161" s="15">
        <f t="shared" ca="1" si="11"/>
        <v>5490696180280</v>
      </c>
      <c r="D161" s="1" t="str">
        <f>IF(ISBLANK(B161),"",VLOOKUP(B161,formules!E:F,2,0))</f>
        <v>Basic mom jeans anthracite grey</v>
      </c>
      <c r="E161" s="1">
        <f t="shared" si="12"/>
        <v>1</v>
      </c>
      <c r="F161" s="17">
        <f>IF(ISBLANK(B161),"",VLOOKUP(B161,formules!E:K,7,0))</f>
        <v>22.9</v>
      </c>
      <c r="G161" s="17">
        <f>IF(ISBLANK(B161),"",VLOOKUP(B161,formules!E:L,8,0))</f>
        <v>35.9</v>
      </c>
      <c r="H161" s="1" t="str">
        <f t="shared" si="13"/>
        <v>Size</v>
      </c>
      <c r="I161" s="1">
        <v>25</v>
      </c>
      <c r="J161" s="1">
        <f t="shared" si="14"/>
        <v>1</v>
      </c>
    </row>
    <row r="162" spans="1:10" x14ac:dyDescent="0.2">
      <c r="A162" s="1" t="str">
        <f t="shared" si="10"/>
        <v>variation</v>
      </c>
      <c r="B162" s="1" t="s">
        <v>206</v>
      </c>
      <c r="C162" s="15">
        <f t="shared" ca="1" si="11"/>
        <v>6511013484561</v>
      </c>
      <c r="D162" s="1" t="str">
        <f>IF(ISBLANK(B162),"",VLOOKUP(B162,formules!E:F,2,0))</f>
        <v>Basic mom jeans anthracite grey</v>
      </c>
      <c r="E162" s="1">
        <f t="shared" si="12"/>
        <v>1</v>
      </c>
      <c r="F162" s="17">
        <f>IF(ISBLANK(B162),"",VLOOKUP(B162,formules!E:K,7,0))</f>
        <v>22.9</v>
      </c>
      <c r="G162" s="17">
        <f>IF(ISBLANK(B162),"",VLOOKUP(B162,formules!E:L,8,0))</f>
        <v>35.9</v>
      </c>
      <c r="H162" s="1" t="str">
        <f t="shared" si="13"/>
        <v>Size</v>
      </c>
      <c r="I162" s="1" t="s">
        <v>208</v>
      </c>
      <c r="J162" s="1">
        <f t="shared" si="14"/>
        <v>1</v>
      </c>
    </row>
    <row r="163" spans="1:10" x14ac:dyDescent="0.2">
      <c r="A163" s="1" t="str">
        <f t="shared" si="10"/>
        <v>variation</v>
      </c>
      <c r="B163" s="1" t="s">
        <v>206</v>
      </c>
      <c r="C163" s="15">
        <f t="shared" ca="1" si="11"/>
        <v>2367766329353</v>
      </c>
      <c r="D163" s="1" t="str">
        <f>IF(ISBLANK(B163),"",VLOOKUP(B163,formules!E:F,2,0))</f>
        <v>Basic mom jeans anthracite grey</v>
      </c>
      <c r="E163" s="1">
        <f t="shared" si="12"/>
        <v>1</v>
      </c>
      <c r="F163" s="17">
        <f>IF(ISBLANK(B163),"",VLOOKUP(B163,formules!E:K,7,0))</f>
        <v>22.9</v>
      </c>
      <c r="G163" s="17">
        <f>IF(ISBLANK(B163),"",VLOOKUP(B163,formules!E:L,8,0))</f>
        <v>35.9</v>
      </c>
      <c r="H163" s="1" t="str">
        <f t="shared" si="13"/>
        <v>Size</v>
      </c>
      <c r="I163" s="1" t="s">
        <v>77</v>
      </c>
      <c r="J163" s="1">
        <f t="shared" si="14"/>
        <v>1</v>
      </c>
    </row>
    <row r="164" spans="1:10" x14ac:dyDescent="0.2">
      <c r="A164" s="1" t="str">
        <f t="shared" si="10"/>
        <v>variation</v>
      </c>
      <c r="B164" s="1" t="s">
        <v>206</v>
      </c>
      <c r="C164" s="15">
        <f t="shared" ca="1" si="11"/>
        <v>2525474171844</v>
      </c>
      <c r="D164" s="1" t="str">
        <f>IF(ISBLANK(B164),"",VLOOKUP(B164,formules!E:F,2,0))</f>
        <v>Basic mom jeans anthracite grey</v>
      </c>
      <c r="E164" s="1">
        <f t="shared" si="12"/>
        <v>1</v>
      </c>
      <c r="F164" s="17">
        <f>IF(ISBLANK(B164),"",VLOOKUP(B164,formules!E:K,7,0))</f>
        <v>22.9</v>
      </c>
      <c r="G164" s="17">
        <f>IF(ISBLANK(B164),"",VLOOKUP(B164,formules!E:L,8,0))</f>
        <v>35.9</v>
      </c>
      <c r="H164" s="1" t="str">
        <f t="shared" si="13"/>
        <v>Size</v>
      </c>
      <c r="I164" s="1">
        <v>30</v>
      </c>
      <c r="J164" s="1">
        <f t="shared" si="14"/>
        <v>1</v>
      </c>
    </row>
    <row r="165" spans="1:10" x14ac:dyDescent="0.2">
      <c r="A165" s="1" t="str">
        <f t="shared" si="10"/>
        <v>variation</v>
      </c>
      <c r="B165" s="1" t="s">
        <v>206</v>
      </c>
      <c r="C165" s="15">
        <f t="shared" ca="1" si="11"/>
        <v>7757309060677</v>
      </c>
      <c r="D165" s="1" t="str">
        <f>IF(ISBLANK(B165),"",VLOOKUP(B165,formules!E:F,2,0))</f>
        <v>Basic mom jeans anthracite grey</v>
      </c>
      <c r="E165" s="1">
        <f t="shared" si="12"/>
        <v>1</v>
      </c>
      <c r="F165" s="17">
        <f>IF(ISBLANK(B165),"",VLOOKUP(B165,formules!E:K,7,0))</f>
        <v>22.9</v>
      </c>
      <c r="G165" s="17">
        <f>IF(ISBLANK(B165),"",VLOOKUP(B165,formules!E:L,8,0))</f>
        <v>35.9</v>
      </c>
      <c r="H165" s="1" t="str">
        <f t="shared" si="13"/>
        <v>Size</v>
      </c>
      <c r="I165" s="1" t="s">
        <v>209</v>
      </c>
      <c r="J165" s="1">
        <f t="shared" si="14"/>
        <v>1</v>
      </c>
    </row>
    <row r="166" spans="1:10" x14ac:dyDescent="0.2">
      <c r="A166" s="1" t="str">
        <f t="shared" si="10"/>
        <v>variation</v>
      </c>
      <c r="B166" s="1" t="s">
        <v>206</v>
      </c>
      <c r="C166" s="15">
        <f t="shared" ca="1" si="11"/>
        <v>4452774875709</v>
      </c>
      <c r="D166" s="1" t="str">
        <f>IF(ISBLANK(B166),"",VLOOKUP(B166,formules!E:F,2,0))</f>
        <v>Basic mom jeans anthracite grey</v>
      </c>
      <c r="E166" s="1">
        <f t="shared" si="12"/>
        <v>1</v>
      </c>
      <c r="F166" s="17">
        <f>IF(ISBLANK(B166),"",VLOOKUP(B166,formules!E:K,7,0))</f>
        <v>22.9</v>
      </c>
      <c r="G166" s="17">
        <f>IF(ISBLANK(B166),"",VLOOKUP(B166,formules!E:L,8,0))</f>
        <v>35.9</v>
      </c>
      <c r="H166" s="1" t="str">
        <f t="shared" si="13"/>
        <v>Size</v>
      </c>
      <c r="I166" s="1">
        <v>33</v>
      </c>
      <c r="J166" s="1">
        <f t="shared" si="14"/>
        <v>1</v>
      </c>
    </row>
    <row r="167" spans="1:10" x14ac:dyDescent="0.2">
      <c r="A167" s="1" t="str">
        <f t="shared" si="10"/>
        <v>variation</v>
      </c>
      <c r="B167" s="1" t="s">
        <v>206</v>
      </c>
      <c r="C167" s="15">
        <f t="shared" ca="1" si="11"/>
        <v>6906154703080</v>
      </c>
      <c r="D167" s="1" t="str">
        <f>IF(ISBLANK(B167),"",VLOOKUP(B167,formules!E:F,2,0))</f>
        <v>Basic mom jeans anthracite grey</v>
      </c>
      <c r="E167" s="1">
        <f t="shared" si="12"/>
        <v>1</v>
      </c>
      <c r="F167" s="17">
        <f>IF(ISBLANK(B167),"",VLOOKUP(B167,formules!E:K,7,0))</f>
        <v>22.9</v>
      </c>
      <c r="G167" s="17">
        <f>IF(ISBLANK(B167),"",VLOOKUP(B167,formules!E:L,8,0))</f>
        <v>35.9</v>
      </c>
      <c r="H167" s="1" t="str">
        <f t="shared" si="13"/>
        <v>Size</v>
      </c>
      <c r="I167" s="1" t="s">
        <v>210</v>
      </c>
      <c r="J167" s="1">
        <f t="shared" si="14"/>
        <v>1</v>
      </c>
    </row>
    <row r="168" spans="1:10" x14ac:dyDescent="0.2">
      <c r="A168" s="1" t="str">
        <f t="shared" si="10"/>
        <v>variation</v>
      </c>
      <c r="B168" s="1" t="s">
        <v>211</v>
      </c>
      <c r="C168" s="15">
        <f t="shared" ca="1" si="11"/>
        <v>3001805601659</v>
      </c>
      <c r="D168" s="1" t="str">
        <f>IF(ISBLANK(B168),"",VLOOKUP(B168,formules!E:F,2,0))</f>
        <v>Basic mom jeans water blue</v>
      </c>
      <c r="E168" s="1">
        <f t="shared" si="12"/>
        <v>1</v>
      </c>
      <c r="F168" s="17">
        <f>IF(ISBLANK(B168),"",VLOOKUP(B168,formules!E:K,7,0))</f>
        <v>22.9</v>
      </c>
      <c r="G168" s="17">
        <f>IF(ISBLANK(B168),"",VLOOKUP(B168,formules!E:L,8,0))</f>
        <v>35.9</v>
      </c>
      <c r="H168" s="1" t="str">
        <f t="shared" si="13"/>
        <v>Size</v>
      </c>
      <c r="I168" s="1" t="s">
        <v>207</v>
      </c>
      <c r="J168" s="1">
        <f t="shared" si="14"/>
        <v>1</v>
      </c>
    </row>
    <row r="169" spans="1:10" x14ac:dyDescent="0.2">
      <c r="A169" s="1" t="str">
        <f t="shared" si="10"/>
        <v>variation</v>
      </c>
      <c r="B169" s="1" t="s">
        <v>211</v>
      </c>
      <c r="C169" s="15">
        <f t="shared" ca="1" si="11"/>
        <v>1534928288429</v>
      </c>
      <c r="D169" s="1" t="str">
        <f>IF(ISBLANK(B169),"",VLOOKUP(B169,formules!E:F,2,0))</f>
        <v>Basic mom jeans water blue</v>
      </c>
      <c r="E169" s="1">
        <f t="shared" si="12"/>
        <v>1</v>
      </c>
      <c r="F169" s="17">
        <f>IF(ISBLANK(B169),"",VLOOKUP(B169,formules!E:K,7,0))</f>
        <v>22.9</v>
      </c>
      <c r="G169" s="17">
        <f>IF(ISBLANK(B169),"",VLOOKUP(B169,formules!E:L,8,0))</f>
        <v>35.9</v>
      </c>
      <c r="H169" s="1" t="str">
        <f t="shared" si="13"/>
        <v>Size</v>
      </c>
      <c r="I169" s="1">
        <v>25</v>
      </c>
      <c r="J169" s="1">
        <f t="shared" si="14"/>
        <v>1</v>
      </c>
    </row>
    <row r="170" spans="1:10" x14ac:dyDescent="0.2">
      <c r="A170" s="1" t="str">
        <f t="shared" si="10"/>
        <v>variation</v>
      </c>
      <c r="B170" s="1" t="s">
        <v>211</v>
      </c>
      <c r="C170" s="15">
        <f t="shared" ca="1" si="11"/>
        <v>8728355477829</v>
      </c>
      <c r="D170" s="1" t="str">
        <f>IF(ISBLANK(B170),"",VLOOKUP(B170,formules!E:F,2,0))</f>
        <v>Basic mom jeans water blue</v>
      </c>
      <c r="E170" s="1">
        <f t="shared" si="12"/>
        <v>1</v>
      </c>
      <c r="F170" s="17">
        <f>IF(ISBLANK(B170),"",VLOOKUP(B170,formules!E:K,7,0))</f>
        <v>22.9</v>
      </c>
      <c r="G170" s="17">
        <f>IF(ISBLANK(B170),"",VLOOKUP(B170,formules!E:L,8,0))</f>
        <v>35.9</v>
      </c>
      <c r="H170" s="1" t="str">
        <f t="shared" si="13"/>
        <v>Size</v>
      </c>
      <c r="I170" s="1" t="s">
        <v>208</v>
      </c>
      <c r="J170" s="1">
        <f t="shared" si="14"/>
        <v>1</v>
      </c>
    </row>
    <row r="171" spans="1:10" x14ac:dyDescent="0.2">
      <c r="A171" s="1" t="str">
        <f t="shared" si="10"/>
        <v>variation</v>
      </c>
      <c r="B171" s="1" t="s">
        <v>211</v>
      </c>
      <c r="C171" s="15">
        <f t="shared" ca="1" si="11"/>
        <v>9022770305258</v>
      </c>
      <c r="D171" s="1" t="str">
        <f>IF(ISBLANK(B171),"",VLOOKUP(B171,formules!E:F,2,0))</f>
        <v>Basic mom jeans water blue</v>
      </c>
      <c r="E171" s="1">
        <f t="shared" si="12"/>
        <v>1</v>
      </c>
      <c r="F171" s="17">
        <f>IF(ISBLANK(B171),"",VLOOKUP(B171,formules!E:K,7,0))</f>
        <v>22.9</v>
      </c>
      <c r="G171" s="17">
        <f>IF(ISBLANK(B171),"",VLOOKUP(B171,formules!E:L,8,0))</f>
        <v>35.9</v>
      </c>
      <c r="H171" s="1" t="str">
        <f t="shared" si="13"/>
        <v>Size</v>
      </c>
      <c r="I171" s="1" t="s">
        <v>77</v>
      </c>
      <c r="J171" s="1">
        <f t="shared" si="14"/>
        <v>1</v>
      </c>
    </row>
    <row r="172" spans="1:10" x14ac:dyDescent="0.2">
      <c r="A172" s="1" t="str">
        <f t="shared" si="10"/>
        <v>variation</v>
      </c>
      <c r="B172" s="1" t="s">
        <v>211</v>
      </c>
      <c r="C172" s="15">
        <f t="shared" ca="1" si="11"/>
        <v>4975304669745</v>
      </c>
      <c r="D172" s="1" t="str">
        <f>IF(ISBLANK(B172),"",VLOOKUP(B172,formules!E:F,2,0))</f>
        <v>Basic mom jeans water blue</v>
      </c>
      <c r="E172" s="1">
        <f t="shared" si="12"/>
        <v>1</v>
      </c>
      <c r="F172" s="17">
        <f>IF(ISBLANK(B172),"",VLOOKUP(B172,formules!E:K,7,0))</f>
        <v>22.9</v>
      </c>
      <c r="G172" s="17">
        <f>IF(ISBLANK(B172),"",VLOOKUP(B172,formules!E:L,8,0))</f>
        <v>35.9</v>
      </c>
      <c r="H172" s="1" t="str">
        <f t="shared" si="13"/>
        <v>Size</v>
      </c>
      <c r="I172" s="1">
        <v>30</v>
      </c>
      <c r="J172" s="1">
        <f t="shared" si="14"/>
        <v>1</v>
      </c>
    </row>
    <row r="173" spans="1:10" x14ac:dyDescent="0.2">
      <c r="A173" s="1" t="str">
        <f t="shared" si="10"/>
        <v>variation</v>
      </c>
      <c r="B173" s="1" t="s">
        <v>211</v>
      </c>
      <c r="C173" s="15">
        <f t="shared" ca="1" si="11"/>
        <v>4396948534559</v>
      </c>
      <c r="D173" s="1" t="str">
        <f>IF(ISBLANK(B173),"",VLOOKUP(B173,formules!E:F,2,0))</f>
        <v>Basic mom jeans water blue</v>
      </c>
      <c r="E173" s="1">
        <f t="shared" si="12"/>
        <v>1</v>
      </c>
      <c r="F173" s="17">
        <f>IF(ISBLANK(B173),"",VLOOKUP(B173,formules!E:K,7,0))</f>
        <v>22.9</v>
      </c>
      <c r="G173" s="17">
        <f>IF(ISBLANK(B173),"",VLOOKUP(B173,formules!E:L,8,0))</f>
        <v>35.9</v>
      </c>
      <c r="H173" s="1" t="str">
        <f t="shared" si="13"/>
        <v>Size</v>
      </c>
      <c r="I173" s="1" t="s">
        <v>209</v>
      </c>
      <c r="J173" s="1">
        <f t="shared" si="14"/>
        <v>1</v>
      </c>
    </row>
    <row r="174" spans="1:10" x14ac:dyDescent="0.2">
      <c r="A174" s="1" t="str">
        <f t="shared" si="10"/>
        <v>variation</v>
      </c>
      <c r="B174" s="1" t="s">
        <v>211</v>
      </c>
      <c r="C174" s="15">
        <f t="shared" ca="1" si="11"/>
        <v>8506655750604</v>
      </c>
      <c r="D174" s="1" t="str">
        <f>IF(ISBLANK(B174),"",VLOOKUP(B174,formules!E:F,2,0))</f>
        <v>Basic mom jeans water blue</v>
      </c>
      <c r="E174" s="1">
        <f t="shared" si="12"/>
        <v>1</v>
      </c>
      <c r="F174" s="17">
        <f>IF(ISBLANK(B174),"",VLOOKUP(B174,formules!E:K,7,0))</f>
        <v>22.9</v>
      </c>
      <c r="G174" s="17">
        <f>IF(ISBLANK(B174),"",VLOOKUP(B174,formules!E:L,8,0))</f>
        <v>35.9</v>
      </c>
      <c r="H174" s="1" t="str">
        <f t="shared" si="13"/>
        <v>Size</v>
      </c>
      <c r="I174" s="1">
        <v>33</v>
      </c>
      <c r="J174" s="1">
        <f t="shared" si="14"/>
        <v>1</v>
      </c>
    </row>
    <row r="175" spans="1:10" x14ac:dyDescent="0.2">
      <c r="A175" s="1" t="str">
        <f t="shared" si="10"/>
        <v>variation</v>
      </c>
      <c r="B175" s="1" t="s">
        <v>211</v>
      </c>
      <c r="C175" s="15">
        <f t="shared" ca="1" si="11"/>
        <v>7089810281389</v>
      </c>
      <c r="D175" s="1" t="str">
        <f>IF(ISBLANK(B175),"",VLOOKUP(B175,formules!E:F,2,0))</f>
        <v>Basic mom jeans water blue</v>
      </c>
      <c r="E175" s="1">
        <f t="shared" si="12"/>
        <v>1</v>
      </c>
      <c r="F175" s="17">
        <f>IF(ISBLANK(B175),"",VLOOKUP(B175,formules!E:K,7,0))</f>
        <v>22.9</v>
      </c>
      <c r="G175" s="17">
        <f>IF(ISBLANK(B175),"",VLOOKUP(B175,formules!E:L,8,0))</f>
        <v>35.9</v>
      </c>
      <c r="H175" s="1" t="str">
        <f t="shared" si="13"/>
        <v>Size</v>
      </c>
      <c r="I175" s="1" t="s">
        <v>210</v>
      </c>
      <c r="J175" s="1">
        <f t="shared" si="14"/>
        <v>1</v>
      </c>
    </row>
    <row r="176" spans="1:10" x14ac:dyDescent="0.2">
      <c r="A176" s="1" t="str">
        <f t="shared" si="10"/>
        <v>variation</v>
      </c>
      <c r="B176" s="1" t="s">
        <v>212</v>
      </c>
      <c r="C176" s="15">
        <f t="shared" ca="1" si="11"/>
        <v>3277500437504</v>
      </c>
      <c r="D176" s="1" t="str">
        <f>IF(ISBLANK(B176),"",VLOOKUP(B176,formules!E:F,2,0))</f>
        <v>Basic mom jeans navy</v>
      </c>
      <c r="E176" s="1">
        <f t="shared" si="12"/>
        <v>1</v>
      </c>
      <c r="F176" s="17">
        <f>IF(ISBLANK(B176),"",VLOOKUP(B176,formules!E:K,7,0))</f>
        <v>22.9</v>
      </c>
      <c r="G176" s="17">
        <f>IF(ISBLANK(B176),"",VLOOKUP(B176,formules!E:L,8,0))</f>
        <v>35.9</v>
      </c>
      <c r="H176" s="1" t="str">
        <f t="shared" si="13"/>
        <v>Size</v>
      </c>
      <c r="I176" s="1" t="s">
        <v>207</v>
      </c>
      <c r="J176" s="1">
        <f t="shared" si="14"/>
        <v>1</v>
      </c>
    </row>
    <row r="177" spans="1:10" x14ac:dyDescent="0.2">
      <c r="A177" s="1" t="str">
        <f t="shared" si="10"/>
        <v>variation</v>
      </c>
      <c r="B177" s="1" t="s">
        <v>212</v>
      </c>
      <c r="C177" s="15">
        <f t="shared" ca="1" si="11"/>
        <v>5411500274568</v>
      </c>
      <c r="D177" s="1" t="str">
        <f>IF(ISBLANK(B177),"",VLOOKUP(B177,formules!E:F,2,0))</f>
        <v>Basic mom jeans navy</v>
      </c>
      <c r="E177" s="1">
        <f t="shared" si="12"/>
        <v>1</v>
      </c>
      <c r="F177" s="17">
        <f>IF(ISBLANK(B177),"",VLOOKUP(B177,formules!E:K,7,0))</f>
        <v>22.9</v>
      </c>
      <c r="G177" s="17">
        <f>IF(ISBLANK(B177),"",VLOOKUP(B177,formules!E:L,8,0))</f>
        <v>35.9</v>
      </c>
      <c r="H177" s="1" t="str">
        <f t="shared" si="13"/>
        <v>Size</v>
      </c>
      <c r="I177" s="1">
        <v>25</v>
      </c>
      <c r="J177" s="1">
        <f t="shared" si="14"/>
        <v>1</v>
      </c>
    </row>
    <row r="178" spans="1:10" x14ac:dyDescent="0.2">
      <c r="A178" s="1" t="str">
        <f t="shared" si="10"/>
        <v>variation</v>
      </c>
      <c r="B178" s="1" t="s">
        <v>212</v>
      </c>
      <c r="C178" s="15">
        <f t="shared" ca="1" si="11"/>
        <v>4033436374471</v>
      </c>
      <c r="D178" s="1" t="str">
        <f>IF(ISBLANK(B178),"",VLOOKUP(B178,formules!E:F,2,0))</f>
        <v>Basic mom jeans navy</v>
      </c>
      <c r="E178" s="1">
        <f t="shared" si="12"/>
        <v>1</v>
      </c>
      <c r="F178" s="17">
        <f>IF(ISBLANK(B178),"",VLOOKUP(B178,formules!E:K,7,0))</f>
        <v>22.9</v>
      </c>
      <c r="G178" s="17">
        <f>IF(ISBLANK(B178),"",VLOOKUP(B178,formules!E:L,8,0))</f>
        <v>35.9</v>
      </c>
      <c r="H178" s="1" t="str">
        <f t="shared" si="13"/>
        <v>Size</v>
      </c>
      <c r="I178" s="1" t="s">
        <v>208</v>
      </c>
      <c r="J178" s="1">
        <f t="shared" si="14"/>
        <v>1</v>
      </c>
    </row>
    <row r="179" spans="1:10" x14ac:dyDescent="0.2">
      <c r="A179" s="1" t="str">
        <f t="shared" si="10"/>
        <v>variation</v>
      </c>
      <c r="B179" s="1" t="s">
        <v>212</v>
      </c>
      <c r="C179" s="15">
        <f t="shared" ca="1" si="11"/>
        <v>9917573684859</v>
      </c>
      <c r="D179" s="1" t="str">
        <f>IF(ISBLANK(B179),"",VLOOKUP(B179,formules!E:F,2,0))</f>
        <v>Basic mom jeans navy</v>
      </c>
      <c r="E179" s="1">
        <f t="shared" si="12"/>
        <v>1</v>
      </c>
      <c r="F179" s="17">
        <f>IF(ISBLANK(B179),"",VLOOKUP(B179,formules!E:K,7,0))</f>
        <v>22.9</v>
      </c>
      <c r="G179" s="17">
        <f>IF(ISBLANK(B179),"",VLOOKUP(B179,formules!E:L,8,0))</f>
        <v>35.9</v>
      </c>
      <c r="H179" s="1" t="str">
        <f t="shared" si="13"/>
        <v>Size</v>
      </c>
      <c r="I179" s="1" t="s">
        <v>77</v>
      </c>
      <c r="J179" s="1">
        <f t="shared" si="14"/>
        <v>1</v>
      </c>
    </row>
    <row r="180" spans="1:10" x14ac:dyDescent="0.2">
      <c r="A180" s="1" t="str">
        <f t="shared" si="10"/>
        <v>variation</v>
      </c>
      <c r="B180" s="1" t="s">
        <v>212</v>
      </c>
      <c r="C180" s="15">
        <f t="shared" ca="1" si="11"/>
        <v>3595246479776</v>
      </c>
      <c r="D180" s="1" t="str">
        <f>IF(ISBLANK(B180),"",VLOOKUP(B180,formules!E:F,2,0))</f>
        <v>Basic mom jeans navy</v>
      </c>
      <c r="E180" s="1">
        <f t="shared" si="12"/>
        <v>1</v>
      </c>
      <c r="F180" s="17">
        <f>IF(ISBLANK(B180),"",VLOOKUP(B180,formules!E:K,7,0))</f>
        <v>22.9</v>
      </c>
      <c r="G180" s="17">
        <f>IF(ISBLANK(B180),"",VLOOKUP(B180,formules!E:L,8,0))</f>
        <v>35.9</v>
      </c>
      <c r="H180" s="1" t="str">
        <f t="shared" si="13"/>
        <v>Size</v>
      </c>
      <c r="I180" s="1">
        <v>30</v>
      </c>
      <c r="J180" s="1">
        <f t="shared" si="14"/>
        <v>1</v>
      </c>
    </row>
    <row r="181" spans="1:10" x14ac:dyDescent="0.2">
      <c r="A181" s="1" t="str">
        <f t="shared" si="10"/>
        <v>variation</v>
      </c>
      <c r="B181" s="1" t="s">
        <v>212</v>
      </c>
      <c r="C181" s="15">
        <f t="shared" ca="1" si="11"/>
        <v>6530540717343</v>
      </c>
      <c r="D181" s="1" t="str">
        <f>IF(ISBLANK(B181),"",VLOOKUP(B181,formules!E:F,2,0))</f>
        <v>Basic mom jeans navy</v>
      </c>
      <c r="E181" s="1">
        <f t="shared" si="12"/>
        <v>1</v>
      </c>
      <c r="F181" s="17">
        <f>IF(ISBLANK(B181),"",VLOOKUP(B181,formules!E:K,7,0))</f>
        <v>22.9</v>
      </c>
      <c r="G181" s="17">
        <f>IF(ISBLANK(B181),"",VLOOKUP(B181,formules!E:L,8,0))</f>
        <v>35.9</v>
      </c>
      <c r="H181" s="1" t="str">
        <f t="shared" si="13"/>
        <v>Size</v>
      </c>
      <c r="I181" s="1" t="s">
        <v>209</v>
      </c>
      <c r="J181" s="1">
        <f t="shared" si="14"/>
        <v>1</v>
      </c>
    </row>
    <row r="182" spans="1:10" x14ac:dyDescent="0.2">
      <c r="A182" s="1" t="str">
        <f t="shared" si="10"/>
        <v>variation</v>
      </c>
      <c r="B182" s="1" t="s">
        <v>212</v>
      </c>
      <c r="C182" s="15">
        <f t="shared" ca="1" si="11"/>
        <v>8374865441284</v>
      </c>
      <c r="D182" s="1" t="str">
        <f>IF(ISBLANK(B182),"",VLOOKUP(B182,formules!E:F,2,0))</f>
        <v>Basic mom jeans navy</v>
      </c>
      <c r="E182" s="1">
        <f t="shared" si="12"/>
        <v>1</v>
      </c>
      <c r="F182" s="17">
        <f>IF(ISBLANK(B182),"",VLOOKUP(B182,formules!E:K,7,0))</f>
        <v>22.9</v>
      </c>
      <c r="G182" s="17">
        <f>IF(ISBLANK(B182),"",VLOOKUP(B182,formules!E:L,8,0))</f>
        <v>35.9</v>
      </c>
      <c r="H182" s="1" t="str">
        <f t="shared" si="13"/>
        <v>Size</v>
      </c>
      <c r="I182" s="1">
        <v>33</v>
      </c>
      <c r="J182" s="1">
        <f t="shared" si="14"/>
        <v>1</v>
      </c>
    </row>
    <row r="183" spans="1:10" x14ac:dyDescent="0.2">
      <c r="A183" s="1" t="str">
        <f t="shared" si="10"/>
        <v>variation</v>
      </c>
      <c r="B183" s="1" t="s">
        <v>212</v>
      </c>
      <c r="C183" s="15">
        <f t="shared" ca="1" si="11"/>
        <v>2607288501002</v>
      </c>
      <c r="D183" s="1" t="str">
        <f>IF(ISBLANK(B183),"",VLOOKUP(B183,formules!E:F,2,0))</f>
        <v>Basic mom jeans navy</v>
      </c>
      <c r="E183" s="1">
        <f t="shared" si="12"/>
        <v>1</v>
      </c>
      <c r="F183" s="17">
        <f>IF(ISBLANK(B183),"",VLOOKUP(B183,formules!E:K,7,0))</f>
        <v>22.9</v>
      </c>
      <c r="G183" s="17">
        <f>IF(ISBLANK(B183),"",VLOOKUP(B183,formules!E:L,8,0))</f>
        <v>35.9</v>
      </c>
      <c r="H183" s="1" t="str">
        <f t="shared" si="13"/>
        <v>Size</v>
      </c>
      <c r="I183" s="1" t="s">
        <v>210</v>
      </c>
      <c r="J183" s="1">
        <f t="shared" si="14"/>
        <v>1</v>
      </c>
    </row>
    <row r="184" spans="1:10" x14ac:dyDescent="0.2">
      <c r="A184" s="1" t="str">
        <f t="shared" si="10"/>
        <v>variation</v>
      </c>
      <c r="B184" s="1" t="s">
        <v>213</v>
      </c>
      <c r="C184" s="15">
        <f t="shared" ca="1" si="11"/>
        <v>7921961315953</v>
      </c>
      <c r="D184" s="1" t="str">
        <f>IF(ISBLANK(B184),"",VLOOKUP(B184,formules!E:F,2,0))</f>
        <v>Basic mom jeans faded blue</v>
      </c>
      <c r="E184" s="1">
        <f t="shared" si="12"/>
        <v>1</v>
      </c>
      <c r="F184" s="17">
        <f>IF(ISBLANK(B184),"",VLOOKUP(B184,formules!E:K,7,0))</f>
        <v>22.9</v>
      </c>
      <c r="G184" s="17">
        <f>IF(ISBLANK(B184),"",VLOOKUP(B184,formules!E:L,8,0))</f>
        <v>35.9</v>
      </c>
      <c r="H184" s="1" t="str">
        <f t="shared" si="13"/>
        <v>Size</v>
      </c>
      <c r="I184" s="1" t="s">
        <v>207</v>
      </c>
      <c r="J184" s="1">
        <f t="shared" si="14"/>
        <v>1</v>
      </c>
    </row>
    <row r="185" spans="1:10" x14ac:dyDescent="0.2">
      <c r="A185" s="1" t="str">
        <f t="shared" si="10"/>
        <v>variation</v>
      </c>
      <c r="B185" s="1" t="s">
        <v>213</v>
      </c>
      <c r="C185" s="15">
        <f t="shared" ca="1" si="11"/>
        <v>1930398421393</v>
      </c>
      <c r="D185" s="1" t="str">
        <f>IF(ISBLANK(B185),"",VLOOKUP(B185,formules!E:F,2,0))</f>
        <v>Basic mom jeans faded blue</v>
      </c>
      <c r="E185" s="1">
        <f t="shared" si="12"/>
        <v>1</v>
      </c>
      <c r="F185" s="17">
        <f>IF(ISBLANK(B185),"",VLOOKUP(B185,formules!E:K,7,0))</f>
        <v>22.9</v>
      </c>
      <c r="G185" s="17">
        <f>IF(ISBLANK(B185),"",VLOOKUP(B185,formules!E:L,8,0))</f>
        <v>35.9</v>
      </c>
      <c r="H185" s="1" t="str">
        <f t="shared" si="13"/>
        <v>Size</v>
      </c>
      <c r="I185" s="1">
        <v>25</v>
      </c>
      <c r="J185" s="1">
        <f t="shared" si="14"/>
        <v>1</v>
      </c>
    </row>
    <row r="186" spans="1:10" x14ac:dyDescent="0.2">
      <c r="A186" s="1" t="str">
        <f t="shared" si="10"/>
        <v>variation</v>
      </c>
      <c r="B186" s="1" t="s">
        <v>213</v>
      </c>
      <c r="C186" s="15">
        <f t="shared" ca="1" si="11"/>
        <v>5132223161696</v>
      </c>
      <c r="D186" s="1" t="str">
        <f>IF(ISBLANK(B186),"",VLOOKUP(B186,formules!E:F,2,0))</f>
        <v>Basic mom jeans faded blue</v>
      </c>
      <c r="E186" s="1">
        <f t="shared" si="12"/>
        <v>1</v>
      </c>
      <c r="F186" s="17">
        <f>IF(ISBLANK(B186),"",VLOOKUP(B186,formules!E:K,7,0))</f>
        <v>22.9</v>
      </c>
      <c r="G186" s="17">
        <f>IF(ISBLANK(B186),"",VLOOKUP(B186,formules!E:L,8,0))</f>
        <v>35.9</v>
      </c>
      <c r="H186" s="1" t="str">
        <f t="shared" si="13"/>
        <v>Size</v>
      </c>
      <c r="I186" s="1" t="s">
        <v>208</v>
      </c>
      <c r="J186" s="1">
        <f t="shared" si="14"/>
        <v>1</v>
      </c>
    </row>
    <row r="187" spans="1:10" x14ac:dyDescent="0.2">
      <c r="A187" s="1" t="str">
        <f t="shared" si="10"/>
        <v>variation</v>
      </c>
      <c r="B187" s="1" t="s">
        <v>213</v>
      </c>
      <c r="C187" s="15">
        <f t="shared" ca="1" si="11"/>
        <v>8537986464923</v>
      </c>
      <c r="D187" s="1" t="str">
        <f>IF(ISBLANK(B187),"",VLOOKUP(B187,formules!E:F,2,0))</f>
        <v>Basic mom jeans faded blue</v>
      </c>
      <c r="E187" s="1">
        <f t="shared" si="12"/>
        <v>1</v>
      </c>
      <c r="F187" s="17">
        <f>IF(ISBLANK(B187),"",VLOOKUP(B187,formules!E:K,7,0))</f>
        <v>22.9</v>
      </c>
      <c r="G187" s="17">
        <f>IF(ISBLANK(B187),"",VLOOKUP(B187,formules!E:L,8,0))</f>
        <v>35.9</v>
      </c>
      <c r="H187" s="1" t="str">
        <f t="shared" si="13"/>
        <v>Size</v>
      </c>
      <c r="I187" s="1" t="s">
        <v>77</v>
      </c>
      <c r="J187" s="1">
        <f t="shared" si="14"/>
        <v>1</v>
      </c>
    </row>
    <row r="188" spans="1:10" x14ac:dyDescent="0.2">
      <c r="A188" s="1" t="str">
        <f t="shared" si="10"/>
        <v>variation</v>
      </c>
      <c r="B188" s="1" t="s">
        <v>213</v>
      </c>
      <c r="C188" s="15">
        <f t="shared" ca="1" si="11"/>
        <v>9804809893365</v>
      </c>
      <c r="D188" s="1" t="str">
        <f>IF(ISBLANK(B188),"",VLOOKUP(B188,formules!E:F,2,0))</f>
        <v>Basic mom jeans faded blue</v>
      </c>
      <c r="E188" s="1">
        <f t="shared" si="12"/>
        <v>1</v>
      </c>
      <c r="F188" s="17">
        <f>IF(ISBLANK(B188),"",VLOOKUP(B188,formules!E:K,7,0))</f>
        <v>22.9</v>
      </c>
      <c r="G188" s="17">
        <f>IF(ISBLANK(B188),"",VLOOKUP(B188,formules!E:L,8,0))</f>
        <v>35.9</v>
      </c>
      <c r="H188" s="1" t="str">
        <f t="shared" si="13"/>
        <v>Size</v>
      </c>
      <c r="I188" s="1">
        <v>30</v>
      </c>
      <c r="J188" s="1">
        <f t="shared" si="14"/>
        <v>1</v>
      </c>
    </row>
    <row r="189" spans="1:10" x14ac:dyDescent="0.2">
      <c r="A189" s="1" t="str">
        <f t="shared" si="10"/>
        <v>variation</v>
      </c>
      <c r="B189" s="1" t="s">
        <v>213</v>
      </c>
      <c r="C189" s="15">
        <f t="shared" ca="1" si="11"/>
        <v>1717568192553</v>
      </c>
      <c r="D189" s="1" t="str">
        <f>IF(ISBLANK(B189),"",VLOOKUP(B189,formules!E:F,2,0))</f>
        <v>Basic mom jeans faded blue</v>
      </c>
      <c r="E189" s="1">
        <f t="shared" si="12"/>
        <v>1</v>
      </c>
      <c r="F189" s="17">
        <f>IF(ISBLANK(B189),"",VLOOKUP(B189,formules!E:K,7,0))</f>
        <v>22.9</v>
      </c>
      <c r="G189" s="17">
        <f>IF(ISBLANK(B189),"",VLOOKUP(B189,formules!E:L,8,0))</f>
        <v>35.9</v>
      </c>
      <c r="H189" s="1" t="str">
        <f t="shared" si="13"/>
        <v>Size</v>
      </c>
      <c r="I189" s="1" t="s">
        <v>209</v>
      </c>
      <c r="J189" s="1">
        <f t="shared" si="14"/>
        <v>1</v>
      </c>
    </row>
    <row r="190" spans="1:10" x14ac:dyDescent="0.2">
      <c r="A190" s="1" t="str">
        <f t="shared" si="10"/>
        <v>variation</v>
      </c>
      <c r="B190" s="1" t="s">
        <v>213</v>
      </c>
      <c r="C190" s="15">
        <f t="shared" ca="1" si="11"/>
        <v>5897713088635</v>
      </c>
      <c r="D190" s="1" t="str">
        <f>IF(ISBLANK(B190),"",VLOOKUP(B190,formules!E:F,2,0))</f>
        <v>Basic mom jeans faded blue</v>
      </c>
      <c r="E190" s="1">
        <f t="shared" si="12"/>
        <v>1</v>
      </c>
      <c r="F190" s="17">
        <f>IF(ISBLANK(B190),"",VLOOKUP(B190,formules!E:K,7,0))</f>
        <v>22.9</v>
      </c>
      <c r="G190" s="17">
        <f>IF(ISBLANK(B190),"",VLOOKUP(B190,formules!E:L,8,0))</f>
        <v>35.9</v>
      </c>
      <c r="H190" s="1" t="str">
        <f t="shared" si="13"/>
        <v>Size</v>
      </c>
      <c r="I190" s="1">
        <v>33</v>
      </c>
      <c r="J190" s="1">
        <f t="shared" si="14"/>
        <v>1</v>
      </c>
    </row>
    <row r="191" spans="1:10" x14ac:dyDescent="0.2">
      <c r="A191" s="1" t="str">
        <f t="shared" si="10"/>
        <v>variation</v>
      </c>
      <c r="B191" s="1" t="s">
        <v>213</v>
      </c>
      <c r="C191" s="15">
        <f t="shared" ca="1" si="11"/>
        <v>6849929878657</v>
      </c>
      <c r="D191" s="1" t="str">
        <f>IF(ISBLANK(B191),"",VLOOKUP(B191,formules!E:F,2,0))</f>
        <v>Basic mom jeans faded blue</v>
      </c>
      <c r="E191" s="1">
        <f t="shared" si="12"/>
        <v>1</v>
      </c>
      <c r="F191" s="17">
        <f>IF(ISBLANK(B191),"",VLOOKUP(B191,formules!E:K,7,0))</f>
        <v>22.9</v>
      </c>
      <c r="G191" s="17">
        <f>IF(ISBLANK(B191),"",VLOOKUP(B191,formules!E:L,8,0))</f>
        <v>35.9</v>
      </c>
      <c r="H191" s="1" t="str">
        <f t="shared" si="13"/>
        <v>Size</v>
      </c>
      <c r="I191" s="1" t="s">
        <v>210</v>
      </c>
      <c r="J191" s="1">
        <f t="shared" si="14"/>
        <v>1</v>
      </c>
    </row>
    <row r="192" spans="1:10" x14ac:dyDescent="0.2">
      <c r="A192" s="1" t="str">
        <f t="shared" si="10"/>
        <v>variation</v>
      </c>
      <c r="B192" s="1" t="s">
        <v>214</v>
      </c>
      <c r="C192" s="15">
        <f t="shared" ca="1" si="11"/>
        <v>1750464736253</v>
      </c>
      <c r="D192" s="1" t="str">
        <f>IF(ISBLANK(B192),"",VLOOKUP(B192,formules!E:F,2,0))</f>
        <v>Blue striped boxer shorts pastel blue</v>
      </c>
      <c r="E192" s="1">
        <f t="shared" si="12"/>
        <v>1</v>
      </c>
      <c r="F192" s="17">
        <f>IF(ISBLANK(B192),"",VLOOKUP(B192,formules!E:K,7,0))</f>
        <v>29.9</v>
      </c>
      <c r="G192" s="17">
        <f>IF(ISBLANK(B192),"",VLOOKUP(B192,formules!E:L,8,0))</f>
        <v>39.9</v>
      </c>
      <c r="H192" s="1" t="str">
        <f t="shared" si="13"/>
        <v>Size</v>
      </c>
      <c r="I192" s="1" t="s">
        <v>170</v>
      </c>
      <c r="J192" s="1">
        <f t="shared" si="14"/>
        <v>1</v>
      </c>
    </row>
    <row r="193" spans="1:10" x14ac:dyDescent="0.2">
      <c r="A193" s="1" t="str">
        <f t="shared" si="10"/>
        <v>variation</v>
      </c>
      <c r="B193" s="1" t="s">
        <v>214</v>
      </c>
      <c r="C193" s="15">
        <f t="shared" ca="1" si="11"/>
        <v>9071919009538</v>
      </c>
      <c r="D193" s="1" t="str">
        <f>IF(ISBLANK(B193),"",VLOOKUP(B193,formules!E:F,2,0))</f>
        <v>Blue striped boxer shorts pastel blue</v>
      </c>
      <c r="E193" s="1">
        <f t="shared" si="12"/>
        <v>1</v>
      </c>
      <c r="F193" s="17">
        <f>IF(ISBLANK(B193),"",VLOOKUP(B193,formules!E:K,7,0))</f>
        <v>29.9</v>
      </c>
      <c r="G193" s="17">
        <f>IF(ISBLANK(B193),"",VLOOKUP(B193,formules!E:L,8,0))</f>
        <v>39.9</v>
      </c>
      <c r="H193" s="1" t="str">
        <f t="shared" si="13"/>
        <v>Size</v>
      </c>
      <c r="I193" s="1" t="s">
        <v>10</v>
      </c>
      <c r="J193" s="1">
        <f t="shared" si="14"/>
        <v>1</v>
      </c>
    </row>
    <row r="194" spans="1:10" x14ac:dyDescent="0.2">
      <c r="A194" s="1" t="str">
        <f t="shared" si="10"/>
        <v>variation</v>
      </c>
      <c r="B194" s="1" t="s">
        <v>214</v>
      </c>
      <c r="C194" s="15">
        <f t="shared" ca="1" si="11"/>
        <v>3674788418946</v>
      </c>
      <c r="D194" s="1" t="str">
        <f>IF(ISBLANK(B194),"",VLOOKUP(B194,formules!E:F,2,0))</f>
        <v>Blue striped boxer shorts pastel blue</v>
      </c>
      <c r="E194" s="1">
        <f t="shared" si="12"/>
        <v>1</v>
      </c>
      <c r="F194" s="17">
        <f>IF(ISBLANK(B194),"",VLOOKUP(B194,formules!E:K,7,0))</f>
        <v>29.9</v>
      </c>
      <c r="G194" s="17">
        <f>IF(ISBLANK(B194),"",VLOOKUP(B194,formules!E:L,8,0))</f>
        <v>39.9</v>
      </c>
      <c r="H194" s="1" t="str">
        <f t="shared" si="13"/>
        <v>Size</v>
      </c>
      <c r="I194" s="1" t="s">
        <v>96</v>
      </c>
      <c r="J194" s="1">
        <f t="shared" si="14"/>
        <v>1</v>
      </c>
    </row>
    <row r="195" spans="1:10" x14ac:dyDescent="0.2">
      <c r="A195" s="1" t="str">
        <f t="shared" ref="A195:A258" si="15">IF(ISBLANK(B195),"","variation")</f>
        <v>variation</v>
      </c>
      <c r="B195" s="1" t="s">
        <v>214</v>
      </c>
      <c r="C195" s="15">
        <f t="shared" ref="C195:C258" ca="1" si="16">IF(ISBLANK(B195),"",RANDBETWEEN(1111111111111,9999999999999))</f>
        <v>7404328547510</v>
      </c>
      <c r="D195" s="1" t="str">
        <f>IF(ISBLANK(B195),"",VLOOKUP(B195,formules!E:F,2,0))</f>
        <v>Blue striped boxer shorts pastel blue</v>
      </c>
      <c r="E195" s="1">
        <f t="shared" ref="E195:E258" si="17">IF(ISBLANK(B195),"",1)</f>
        <v>1</v>
      </c>
      <c r="F195" s="17">
        <f>IF(ISBLANK(B195),"",VLOOKUP(B195,formules!E:K,7,0))</f>
        <v>29.9</v>
      </c>
      <c r="G195" s="17">
        <f>IF(ISBLANK(B195),"",VLOOKUP(B195,formules!E:L,8,0))</f>
        <v>39.9</v>
      </c>
      <c r="H195" s="1" t="str">
        <f t="shared" ref="H195:H258" si="18">IF(ISBLANK(B195),"","Size")</f>
        <v>Size</v>
      </c>
      <c r="I195" s="1" t="s">
        <v>171</v>
      </c>
      <c r="J195" s="1">
        <f t="shared" ref="J195:J258" si="19">IF(ISBLANK(B195),"",1)</f>
        <v>1</v>
      </c>
    </row>
    <row r="196" spans="1:10" x14ac:dyDescent="0.2">
      <c r="A196" s="1" t="str">
        <f t="shared" si="15"/>
        <v>variation</v>
      </c>
      <c r="B196" s="1" t="s">
        <v>214</v>
      </c>
      <c r="C196" s="15">
        <f t="shared" ca="1" si="16"/>
        <v>2102939115384</v>
      </c>
      <c r="D196" s="1" t="str">
        <f>IF(ISBLANK(B196),"",VLOOKUP(B196,formules!E:F,2,0))</f>
        <v>Blue striped boxer shorts pastel blue</v>
      </c>
      <c r="E196" s="1">
        <f t="shared" si="17"/>
        <v>1</v>
      </c>
      <c r="F196" s="17">
        <f>IF(ISBLANK(B196),"",VLOOKUP(B196,formules!E:K,7,0))</f>
        <v>29.9</v>
      </c>
      <c r="G196" s="17">
        <f>IF(ISBLANK(B196),"",VLOOKUP(B196,formules!E:L,8,0))</f>
        <v>39.9</v>
      </c>
      <c r="H196" s="1" t="str">
        <f t="shared" si="18"/>
        <v>Size</v>
      </c>
      <c r="I196" s="1" t="s">
        <v>172</v>
      </c>
      <c r="J196" s="1">
        <f t="shared" si="19"/>
        <v>1</v>
      </c>
    </row>
    <row r="197" spans="1:10" x14ac:dyDescent="0.2">
      <c r="A197" s="1" t="str">
        <f t="shared" si="15"/>
        <v>variation</v>
      </c>
      <c r="B197" s="1" t="s">
        <v>215</v>
      </c>
      <c r="C197" s="15">
        <f t="shared" ca="1" si="16"/>
        <v>3586814050909</v>
      </c>
      <c r="D197" s="1" t="str">
        <f>IF(ISBLANK(B197),"",VLOOKUP(B197,formules!E:F,2,0))</f>
        <v>Fitted shorts with fold-over waist detail deep blue</v>
      </c>
      <c r="E197" s="1">
        <f t="shared" si="17"/>
        <v>1</v>
      </c>
      <c r="F197" s="17">
        <f>IF(ISBLANK(B197),"",VLOOKUP(B197,formules!E:K,7,0))</f>
        <v>27.9</v>
      </c>
      <c r="G197" s="17">
        <f>IF(ISBLANK(B197),"",VLOOKUP(B197,formules!E:L,8,0))</f>
        <v>35.9</v>
      </c>
      <c r="H197" s="1" t="str">
        <f t="shared" si="18"/>
        <v>Size</v>
      </c>
      <c r="I197" s="1" t="s">
        <v>170</v>
      </c>
      <c r="J197" s="1">
        <f t="shared" si="19"/>
        <v>1</v>
      </c>
    </row>
    <row r="198" spans="1:10" x14ac:dyDescent="0.2">
      <c r="A198" s="1" t="str">
        <f t="shared" si="15"/>
        <v>variation</v>
      </c>
      <c r="B198" s="1" t="s">
        <v>215</v>
      </c>
      <c r="C198" s="15">
        <f t="shared" ca="1" si="16"/>
        <v>1929784938229</v>
      </c>
      <c r="D198" s="1" t="str">
        <f>IF(ISBLANK(B198),"",VLOOKUP(B198,formules!E:F,2,0))</f>
        <v>Fitted shorts with fold-over waist detail deep blue</v>
      </c>
      <c r="E198" s="1">
        <f t="shared" si="17"/>
        <v>1</v>
      </c>
      <c r="F198" s="17">
        <f>IF(ISBLANK(B198),"",VLOOKUP(B198,formules!E:K,7,0))</f>
        <v>27.9</v>
      </c>
      <c r="G198" s="17">
        <f>IF(ISBLANK(B198),"",VLOOKUP(B198,formules!E:L,8,0))</f>
        <v>35.9</v>
      </c>
      <c r="H198" s="1" t="str">
        <f t="shared" si="18"/>
        <v>Size</v>
      </c>
      <c r="I198" s="1" t="s">
        <v>10</v>
      </c>
      <c r="J198" s="1">
        <f t="shared" si="19"/>
        <v>1</v>
      </c>
    </row>
    <row r="199" spans="1:10" x14ac:dyDescent="0.2">
      <c r="A199" s="1" t="str">
        <f t="shared" si="15"/>
        <v>variation</v>
      </c>
      <c r="B199" s="1" t="s">
        <v>215</v>
      </c>
      <c r="C199" s="15">
        <f t="shared" ca="1" si="16"/>
        <v>7943504232367</v>
      </c>
      <c r="D199" s="1" t="str">
        <f>IF(ISBLANK(B199),"",VLOOKUP(B199,formules!E:F,2,0))</f>
        <v>Fitted shorts with fold-over waist detail deep blue</v>
      </c>
      <c r="E199" s="1">
        <f t="shared" si="17"/>
        <v>1</v>
      </c>
      <c r="F199" s="17">
        <f>IF(ISBLANK(B199),"",VLOOKUP(B199,formules!E:K,7,0))</f>
        <v>27.9</v>
      </c>
      <c r="G199" s="17">
        <f>IF(ISBLANK(B199),"",VLOOKUP(B199,formules!E:L,8,0))</f>
        <v>35.9</v>
      </c>
      <c r="H199" s="1" t="str">
        <f t="shared" si="18"/>
        <v>Size</v>
      </c>
      <c r="I199" s="1" t="s">
        <v>96</v>
      </c>
      <c r="J199" s="1">
        <f t="shared" si="19"/>
        <v>1</v>
      </c>
    </row>
    <row r="200" spans="1:10" x14ac:dyDescent="0.2">
      <c r="A200" s="1" t="str">
        <f t="shared" si="15"/>
        <v>variation</v>
      </c>
      <c r="B200" s="1" t="s">
        <v>215</v>
      </c>
      <c r="C200" s="15">
        <f t="shared" ca="1" si="16"/>
        <v>6088974092559</v>
      </c>
      <c r="D200" s="1" t="str">
        <f>IF(ISBLANK(B200),"",VLOOKUP(B200,formules!E:F,2,0))</f>
        <v>Fitted shorts with fold-over waist detail deep blue</v>
      </c>
      <c r="E200" s="1">
        <f t="shared" si="17"/>
        <v>1</v>
      </c>
      <c r="F200" s="17">
        <f>IF(ISBLANK(B200),"",VLOOKUP(B200,formules!E:K,7,0))</f>
        <v>27.9</v>
      </c>
      <c r="G200" s="17">
        <f>IF(ISBLANK(B200),"",VLOOKUP(B200,formules!E:L,8,0))</f>
        <v>35.9</v>
      </c>
      <c r="H200" s="1" t="str">
        <f t="shared" si="18"/>
        <v>Size</v>
      </c>
      <c r="I200" s="1" t="s">
        <v>171</v>
      </c>
      <c r="J200" s="1">
        <f t="shared" si="19"/>
        <v>1</v>
      </c>
    </row>
    <row r="201" spans="1:10" x14ac:dyDescent="0.2">
      <c r="A201" s="1" t="str">
        <f t="shared" si="15"/>
        <v>variation</v>
      </c>
      <c r="B201" s="1" t="s">
        <v>215</v>
      </c>
      <c r="C201" s="15">
        <f t="shared" ca="1" si="16"/>
        <v>4790898485927</v>
      </c>
      <c r="D201" s="1" t="str">
        <f>IF(ISBLANK(B201),"",VLOOKUP(B201,formules!E:F,2,0))</f>
        <v>Fitted shorts with fold-over waist detail deep blue</v>
      </c>
      <c r="E201" s="1">
        <f t="shared" si="17"/>
        <v>1</v>
      </c>
      <c r="F201" s="17">
        <f>IF(ISBLANK(B201),"",VLOOKUP(B201,formules!E:K,7,0))</f>
        <v>27.9</v>
      </c>
      <c r="G201" s="17">
        <f>IF(ISBLANK(B201),"",VLOOKUP(B201,formules!E:L,8,0))</f>
        <v>35.9</v>
      </c>
      <c r="H201" s="1" t="str">
        <f t="shared" si="18"/>
        <v>Size</v>
      </c>
      <c r="I201" s="1" t="s">
        <v>172</v>
      </c>
      <c r="J201" s="1">
        <f t="shared" si="19"/>
        <v>1</v>
      </c>
    </row>
    <row r="202" spans="1:10" x14ac:dyDescent="0.2">
      <c r="A202" s="1" t="str">
        <f t="shared" si="15"/>
        <v>variation</v>
      </c>
      <c r="B202" s="1" t="s">
        <v>216</v>
      </c>
      <c r="C202" s="15">
        <f t="shared" ca="1" si="16"/>
        <v>7175367651315</v>
      </c>
      <c r="D202" s="1" t="str">
        <f>IF(ISBLANK(B202),"",VLOOKUP(B202,formules!E:F,2,0))</f>
        <v>Fitted shorts with fold-over waist detail pale yellow</v>
      </c>
      <c r="E202" s="1">
        <f t="shared" si="17"/>
        <v>1</v>
      </c>
      <c r="F202" s="17">
        <f>IF(ISBLANK(B202),"",VLOOKUP(B202,formules!E:K,7,0))</f>
        <v>27.9</v>
      </c>
      <c r="G202" s="17">
        <f>IF(ISBLANK(B202),"",VLOOKUP(B202,formules!E:L,8,0))</f>
        <v>35.9</v>
      </c>
      <c r="H202" s="1" t="str">
        <f t="shared" si="18"/>
        <v>Size</v>
      </c>
      <c r="I202" s="1" t="s">
        <v>170</v>
      </c>
      <c r="J202" s="1">
        <f t="shared" si="19"/>
        <v>1</v>
      </c>
    </row>
    <row r="203" spans="1:10" x14ac:dyDescent="0.2">
      <c r="A203" s="1" t="str">
        <f t="shared" si="15"/>
        <v>variation</v>
      </c>
      <c r="B203" s="1" t="s">
        <v>216</v>
      </c>
      <c r="C203" s="15">
        <f t="shared" ca="1" si="16"/>
        <v>6828670528539</v>
      </c>
      <c r="D203" s="1" t="str">
        <f>IF(ISBLANK(B203),"",VLOOKUP(B203,formules!E:F,2,0))</f>
        <v>Fitted shorts with fold-over waist detail pale yellow</v>
      </c>
      <c r="E203" s="1">
        <f t="shared" si="17"/>
        <v>1</v>
      </c>
      <c r="F203" s="17">
        <f>IF(ISBLANK(B203),"",VLOOKUP(B203,formules!E:K,7,0))</f>
        <v>27.9</v>
      </c>
      <c r="G203" s="17">
        <f>IF(ISBLANK(B203),"",VLOOKUP(B203,formules!E:L,8,0))</f>
        <v>35.9</v>
      </c>
      <c r="H203" s="1" t="str">
        <f t="shared" si="18"/>
        <v>Size</v>
      </c>
      <c r="I203" s="1" t="s">
        <v>10</v>
      </c>
      <c r="J203" s="1">
        <f t="shared" si="19"/>
        <v>1</v>
      </c>
    </row>
    <row r="204" spans="1:10" x14ac:dyDescent="0.2">
      <c r="A204" s="1" t="str">
        <f t="shared" si="15"/>
        <v>variation</v>
      </c>
      <c r="B204" s="1" t="s">
        <v>216</v>
      </c>
      <c r="C204" s="15">
        <f t="shared" ca="1" si="16"/>
        <v>1651129970984</v>
      </c>
      <c r="D204" s="1" t="str">
        <f>IF(ISBLANK(B204),"",VLOOKUP(B204,formules!E:F,2,0))</f>
        <v>Fitted shorts with fold-over waist detail pale yellow</v>
      </c>
      <c r="E204" s="1">
        <f t="shared" si="17"/>
        <v>1</v>
      </c>
      <c r="F204" s="17">
        <f>IF(ISBLANK(B204),"",VLOOKUP(B204,formules!E:K,7,0))</f>
        <v>27.9</v>
      </c>
      <c r="G204" s="17">
        <f>IF(ISBLANK(B204),"",VLOOKUP(B204,formules!E:L,8,0))</f>
        <v>35.9</v>
      </c>
      <c r="H204" s="1" t="str">
        <f t="shared" si="18"/>
        <v>Size</v>
      </c>
      <c r="I204" s="1" t="s">
        <v>96</v>
      </c>
      <c r="J204" s="1">
        <f t="shared" si="19"/>
        <v>1</v>
      </c>
    </row>
    <row r="205" spans="1:10" x14ac:dyDescent="0.2">
      <c r="A205" s="1" t="str">
        <f t="shared" si="15"/>
        <v>variation</v>
      </c>
      <c r="B205" s="1" t="s">
        <v>216</v>
      </c>
      <c r="C205" s="15">
        <f t="shared" ca="1" si="16"/>
        <v>5704911167579</v>
      </c>
      <c r="D205" s="1" t="str">
        <f>IF(ISBLANK(B205),"",VLOOKUP(B205,formules!E:F,2,0))</f>
        <v>Fitted shorts with fold-over waist detail pale yellow</v>
      </c>
      <c r="E205" s="1">
        <f t="shared" si="17"/>
        <v>1</v>
      </c>
      <c r="F205" s="17">
        <f>IF(ISBLANK(B205),"",VLOOKUP(B205,formules!E:K,7,0))</f>
        <v>27.9</v>
      </c>
      <c r="G205" s="17">
        <f>IF(ISBLANK(B205),"",VLOOKUP(B205,formules!E:L,8,0))</f>
        <v>35.9</v>
      </c>
      <c r="H205" s="1" t="str">
        <f t="shared" si="18"/>
        <v>Size</v>
      </c>
      <c r="I205" s="1" t="s">
        <v>171</v>
      </c>
      <c r="J205" s="1">
        <f t="shared" si="19"/>
        <v>1</v>
      </c>
    </row>
    <row r="206" spans="1:10" x14ac:dyDescent="0.2">
      <c r="A206" s="1" t="str">
        <f t="shared" si="15"/>
        <v>variation</v>
      </c>
      <c r="B206" s="1" t="s">
        <v>216</v>
      </c>
      <c r="C206" s="15">
        <f t="shared" ca="1" si="16"/>
        <v>3810934640839</v>
      </c>
      <c r="D206" s="1" t="str">
        <f>IF(ISBLANK(B206),"",VLOOKUP(B206,formules!E:F,2,0))</f>
        <v>Fitted shorts with fold-over waist detail pale yellow</v>
      </c>
      <c r="E206" s="1">
        <f t="shared" si="17"/>
        <v>1</v>
      </c>
      <c r="F206" s="17">
        <f>IF(ISBLANK(B206),"",VLOOKUP(B206,formules!E:K,7,0))</f>
        <v>27.9</v>
      </c>
      <c r="G206" s="17">
        <f>IF(ISBLANK(B206),"",VLOOKUP(B206,formules!E:L,8,0))</f>
        <v>35.9</v>
      </c>
      <c r="H206" s="1" t="str">
        <f t="shared" si="18"/>
        <v>Size</v>
      </c>
      <c r="I206" s="1" t="s">
        <v>172</v>
      </c>
      <c r="J206" s="1">
        <f t="shared" si="19"/>
        <v>1</v>
      </c>
    </row>
    <row r="207" spans="1:10" x14ac:dyDescent="0.2">
      <c r="A207" s="1" t="str">
        <f t="shared" si="15"/>
        <v>variation</v>
      </c>
      <c r="B207" s="1" t="s">
        <v>217</v>
      </c>
      <c r="C207" s="15">
        <f t="shared" ca="1" si="16"/>
        <v>3099212257194</v>
      </c>
      <c r="D207" s="1" t="str">
        <f>IF(ISBLANK(B207),"",VLOOKUP(B207,formules!E:F,2,0))</f>
        <v>Cropped jacket with back pleats sand</v>
      </c>
      <c r="E207" s="1">
        <f t="shared" si="17"/>
        <v>1</v>
      </c>
      <c r="F207" s="17">
        <f>IF(ISBLANK(B207),"",VLOOKUP(B207,formules!E:K,7,0))</f>
        <v>45.9</v>
      </c>
      <c r="G207" s="17">
        <f>IF(ISBLANK(B207),"",VLOOKUP(B207,formules!E:L,8,0))</f>
        <v>65.900000000000006</v>
      </c>
      <c r="H207" s="1" t="str">
        <f t="shared" si="18"/>
        <v>Size</v>
      </c>
      <c r="I207" s="1" t="s">
        <v>170</v>
      </c>
      <c r="J207" s="1">
        <f t="shared" si="19"/>
        <v>1</v>
      </c>
    </row>
    <row r="208" spans="1:10" x14ac:dyDescent="0.2">
      <c r="A208" s="1" t="str">
        <f t="shared" si="15"/>
        <v>variation</v>
      </c>
      <c r="B208" s="1" t="s">
        <v>217</v>
      </c>
      <c r="C208" s="15">
        <f t="shared" ca="1" si="16"/>
        <v>3182126582732</v>
      </c>
      <c r="D208" s="1" t="str">
        <f>IF(ISBLANK(B208),"",VLOOKUP(B208,formules!E:F,2,0))</f>
        <v>Cropped jacket with back pleats sand</v>
      </c>
      <c r="E208" s="1">
        <f t="shared" si="17"/>
        <v>1</v>
      </c>
      <c r="F208" s="17">
        <f>IF(ISBLANK(B208),"",VLOOKUP(B208,formules!E:K,7,0))</f>
        <v>45.9</v>
      </c>
      <c r="G208" s="17">
        <f>IF(ISBLANK(B208),"",VLOOKUP(B208,formules!E:L,8,0))</f>
        <v>65.900000000000006</v>
      </c>
      <c r="H208" s="1" t="str">
        <f t="shared" si="18"/>
        <v>Size</v>
      </c>
      <c r="I208" s="1" t="s">
        <v>10</v>
      </c>
      <c r="J208" s="1">
        <f t="shared" si="19"/>
        <v>1</v>
      </c>
    </row>
    <row r="209" spans="1:10" x14ac:dyDescent="0.2">
      <c r="A209" s="1" t="str">
        <f t="shared" si="15"/>
        <v>variation</v>
      </c>
      <c r="B209" s="1" t="s">
        <v>217</v>
      </c>
      <c r="C209" s="15">
        <f t="shared" ca="1" si="16"/>
        <v>2398849112805</v>
      </c>
      <c r="D209" s="1" t="str">
        <f>IF(ISBLANK(B209),"",VLOOKUP(B209,formules!E:F,2,0))</f>
        <v>Cropped jacket with back pleats sand</v>
      </c>
      <c r="E209" s="1">
        <f t="shared" si="17"/>
        <v>1</v>
      </c>
      <c r="F209" s="17">
        <f>IF(ISBLANK(B209),"",VLOOKUP(B209,formules!E:K,7,0))</f>
        <v>45.9</v>
      </c>
      <c r="G209" s="17">
        <f>IF(ISBLANK(B209),"",VLOOKUP(B209,formules!E:L,8,0))</f>
        <v>65.900000000000006</v>
      </c>
      <c r="H209" s="1" t="str">
        <f t="shared" si="18"/>
        <v>Size</v>
      </c>
      <c r="I209" s="1" t="s">
        <v>96</v>
      </c>
      <c r="J209" s="1">
        <f t="shared" si="19"/>
        <v>1</v>
      </c>
    </row>
    <row r="210" spans="1:10" x14ac:dyDescent="0.2">
      <c r="A210" s="1" t="str">
        <f t="shared" si="15"/>
        <v>variation</v>
      </c>
      <c r="B210" s="1" t="s">
        <v>217</v>
      </c>
      <c r="C210" s="15">
        <f t="shared" ca="1" si="16"/>
        <v>6367354764872</v>
      </c>
      <c r="D210" s="1" t="str">
        <f>IF(ISBLANK(B210),"",VLOOKUP(B210,formules!E:F,2,0))</f>
        <v>Cropped jacket with back pleats sand</v>
      </c>
      <c r="E210" s="1">
        <f t="shared" si="17"/>
        <v>1</v>
      </c>
      <c r="F210" s="17">
        <f>IF(ISBLANK(B210),"",VLOOKUP(B210,formules!E:K,7,0))</f>
        <v>45.9</v>
      </c>
      <c r="G210" s="17">
        <f>IF(ISBLANK(B210),"",VLOOKUP(B210,formules!E:L,8,0))</f>
        <v>65.900000000000006</v>
      </c>
      <c r="H210" s="1" t="str">
        <f t="shared" si="18"/>
        <v>Size</v>
      </c>
      <c r="I210" s="1" t="s">
        <v>171</v>
      </c>
      <c r="J210" s="1">
        <f t="shared" si="19"/>
        <v>1</v>
      </c>
    </row>
    <row r="211" spans="1:10" x14ac:dyDescent="0.2">
      <c r="A211" s="1" t="str">
        <f t="shared" si="15"/>
        <v>variation</v>
      </c>
      <c r="B211" s="1" t="s">
        <v>217</v>
      </c>
      <c r="C211" s="15">
        <f t="shared" ca="1" si="16"/>
        <v>8833452078243</v>
      </c>
      <c r="D211" s="1" t="str">
        <f>IF(ISBLANK(B211),"",VLOOKUP(B211,formules!E:F,2,0))</f>
        <v>Cropped jacket with back pleats sand</v>
      </c>
      <c r="E211" s="1">
        <f t="shared" si="17"/>
        <v>1</v>
      </c>
      <c r="F211" s="17">
        <f>IF(ISBLANK(B211),"",VLOOKUP(B211,formules!E:K,7,0))</f>
        <v>45.9</v>
      </c>
      <c r="G211" s="17">
        <f>IF(ISBLANK(B211),"",VLOOKUP(B211,formules!E:L,8,0))</f>
        <v>65.900000000000006</v>
      </c>
      <c r="H211" s="1" t="str">
        <f t="shared" si="18"/>
        <v>Size</v>
      </c>
      <c r="I211" s="1" t="s">
        <v>172</v>
      </c>
      <c r="J211" s="1">
        <f t="shared" si="19"/>
        <v>1</v>
      </c>
    </row>
    <row r="212" spans="1:10" x14ac:dyDescent="0.2">
      <c r="A212" s="1" t="str">
        <f t="shared" si="15"/>
        <v>variation</v>
      </c>
      <c r="B212" s="1" t="s">
        <v>218</v>
      </c>
      <c r="C212" s="15">
        <f t="shared" ca="1" si="16"/>
        <v>3678927176408</v>
      </c>
      <c r="D212" s="1" t="str">
        <f>IF(ISBLANK(B212),"",VLOOKUP(B212,formules!E:F,2,0))</f>
        <v>Cropped jacket with back pleats khaki</v>
      </c>
      <c r="E212" s="1">
        <f t="shared" si="17"/>
        <v>1</v>
      </c>
      <c r="F212" s="17">
        <f>IF(ISBLANK(B212),"",VLOOKUP(B212,formules!E:K,7,0))</f>
        <v>45.9</v>
      </c>
      <c r="G212" s="17">
        <f>IF(ISBLANK(B212),"",VLOOKUP(B212,formules!E:L,8,0))</f>
        <v>65.900000000000006</v>
      </c>
      <c r="H212" s="1" t="str">
        <f t="shared" si="18"/>
        <v>Size</v>
      </c>
      <c r="I212" s="1" t="s">
        <v>170</v>
      </c>
      <c r="J212" s="1">
        <f t="shared" si="19"/>
        <v>1</v>
      </c>
    </row>
    <row r="213" spans="1:10" x14ac:dyDescent="0.2">
      <c r="A213" s="1" t="str">
        <f t="shared" si="15"/>
        <v>variation</v>
      </c>
      <c r="B213" s="1" t="s">
        <v>218</v>
      </c>
      <c r="C213" s="15">
        <f t="shared" ca="1" si="16"/>
        <v>8987009912789</v>
      </c>
      <c r="D213" s="1" t="str">
        <f>IF(ISBLANK(B213),"",VLOOKUP(B213,formules!E:F,2,0))</f>
        <v>Cropped jacket with back pleats khaki</v>
      </c>
      <c r="E213" s="1">
        <f t="shared" si="17"/>
        <v>1</v>
      </c>
      <c r="F213" s="17">
        <f>IF(ISBLANK(B213),"",VLOOKUP(B213,formules!E:K,7,0))</f>
        <v>45.9</v>
      </c>
      <c r="G213" s="17">
        <f>IF(ISBLANK(B213),"",VLOOKUP(B213,formules!E:L,8,0))</f>
        <v>65.900000000000006</v>
      </c>
      <c r="H213" s="1" t="str">
        <f t="shared" si="18"/>
        <v>Size</v>
      </c>
      <c r="I213" s="1" t="s">
        <v>10</v>
      </c>
      <c r="J213" s="1">
        <f t="shared" si="19"/>
        <v>1</v>
      </c>
    </row>
    <row r="214" spans="1:10" x14ac:dyDescent="0.2">
      <c r="A214" s="1" t="str">
        <f t="shared" si="15"/>
        <v>variation</v>
      </c>
      <c r="B214" s="1" t="s">
        <v>218</v>
      </c>
      <c r="C214" s="15">
        <f t="shared" ca="1" si="16"/>
        <v>4033078095544</v>
      </c>
      <c r="D214" s="1" t="str">
        <f>IF(ISBLANK(B214),"",VLOOKUP(B214,formules!E:F,2,0))</f>
        <v>Cropped jacket with back pleats khaki</v>
      </c>
      <c r="E214" s="1">
        <f t="shared" si="17"/>
        <v>1</v>
      </c>
      <c r="F214" s="17">
        <f>IF(ISBLANK(B214),"",VLOOKUP(B214,formules!E:K,7,0))</f>
        <v>45.9</v>
      </c>
      <c r="G214" s="17">
        <f>IF(ISBLANK(B214),"",VLOOKUP(B214,formules!E:L,8,0))</f>
        <v>65.900000000000006</v>
      </c>
      <c r="H214" s="1" t="str">
        <f t="shared" si="18"/>
        <v>Size</v>
      </c>
      <c r="I214" s="1" t="s">
        <v>96</v>
      </c>
      <c r="J214" s="1">
        <f t="shared" si="19"/>
        <v>1</v>
      </c>
    </row>
    <row r="215" spans="1:10" x14ac:dyDescent="0.2">
      <c r="A215" s="1" t="str">
        <f t="shared" si="15"/>
        <v>variation</v>
      </c>
      <c r="B215" s="1" t="s">
        <v>218</v>
      </c>
      <c r="C215" s="15">
        <f t="shared" ca="1" si="16"/>
        <v>7341787406002</v>
      </c>
      <c r="D215" s="1" t="str">
        <f>IF(ISBLANK(B215),"",VLOOKUP(B215,formules!E:F,2,0))</f>
        <v>Cropped jacket with back pleats khaki</v>
      </c>
      <c r="E215" s="1">
        <f t="shared" si="17"/>
        <v>1</v>
      </c>
      <c r="F215" s="17">
        <f>IF(ISBLANK(B215),"",VLOOKUP(B215,formules!E:K,7,0))</f>
        <v>45.9</v>
      </c>
      <c r="G215" s="17">
        <f>IF(ISBLANK(B215),"",VLOOKUP(B215,formules!E:L,8,0))</f>
        <v>65.900000000000006</v>
      </c>
      <c r="H215" s="1" t="str">
        <f t="shared" si="18"/>
        <v>Size</v>
      </c>
      <c r="I215" s="1" t="s">
        <v>171</v>
      </c>
      <c r="J215" s="1">
        <f t="shared" si="19"/>
        <v>1</v>
      </c>
    </row>
    <row r="216" spans="1:10" x14ac:dyDescent="0.2">
      <c r="A216" s="1" t="str">
        <f t="shared" si="15"/>
        <v>variation</v>
      </c>
      <c r="B216" s="1" t="s">
        <v>218</v>
      </c>
      <c r="C216" s="15">
        <f t="shared" ca="1" si="16"/>
        <v>3162528629198</v>
      </c>
      <c r="D216" s="1" t="str">
        <f>IF(ISBLANK(B216),"",VLOOKUP(B216,formules!E:F,2,0))</f>
        <v>Cropped jacket with back pleats khaki</v>
      </c>
      <c r="E216" s="1">
        <f t="shared" si="17"/>
        <v>1</v>
      </c>
      <c r="F216" s="17">
        <f>IF(ISBLANK(B216),"",VLOOKUP(B216,formules!E:K,7,0))</f>
        <v>45.9</v>
      </c>
      <c r="G216" s="17">
        <f>IF(ISBLANK(B216),"",VLOOKUP(B216,formules!E:L,8,0))</f>
        <v>65.900000000000006</v>
      </c>
      <c r="H216" s="1" t="str">
        <f t="shared" si="18"/>
        <v>Size</v>
      </c>
      <c r="I216" s="1" t="s">
        <v>172</v>
      </c>
      <c r="J216" s="1">
        <f t="shared" si="19"/>
        <v>1</v>
      </c>
    </row>
    <row r="217" spans="1:10" x14ac:dyDescent="0.2">
      <c r="A217" s="1" t="str">
        <f t="shared" si="15"/>
        <v>variation</v>
      </c>
      <c r="B217" s="1" t="s">
        <v>219</v>
      </c>
      <c r="C217" s="15">
        <f t="shared" ca="1" si="16"/>
        <v>4039638329056</v>
      </c>
      <c r="D217" s="1" t="str">
        <f>IF(ISBLANK(B217),"",VLOOKUP(B217,formules!E:F,2,0))</f>
        <v>Striped triangle bikini top orange</v>
      </c>
      <c r="E217" s="1">
        <f t="shared" si="17"/>
        <v>1</v>
      </c>
      <c r="F217" s="17">
        <f>IF(ISBLANK(B217),"",VLOOKUP(B217,formules!E:K,7,0))</f>
        <v>27.9</v>
      </c>
      <c r="G217" s="17">
        <f>IF(ISBLANK(B217),"",VLOOKUP(B217,formules!E:L,8,0))</f>
        <v>35.9</v>
      </c>
      <c r="H217" s="1" t="str">
        <f t="shared" si="18"/>
        <v>Size</v>
      </c>
      <c r="I217" s="1" t="s">
        <v>170</v>
      </c>
      <c r="J217" s="1">
        <f t="shared" si="19"/>
        <v>1</v>
      </c>
    </row>
    <row r="218" spans="1:10" x14ac:dyDescent="0.2">
      <c r="A218" s="1" t="str">
        <f t="shared" si="15"/>
        <v>variation</v>
      </c>
      <c r="B218" s="1" t="s">
        <v>219</v>
      </c>
      <c r="C218" s="15">
        <f t="shared" ca="1" si="16"/>
        <v>1638279506843</v>
      </c>
      <c r="D218" s="1" t="str">
        <f>IF(ISBLANK(B218),"",VLOOKUP(B218,formules!E:F,2,0))</f>
        <v>Striped triangle bikini top orange</v>
      </c>
      <c r="E218" s="1">
        <f t="shared" si="17"/>
        <v>1</v>
      </c>
      <c r="F218" s="17">
        <f>IF(ISBLANK(B218),"",VLOOKUP(B218,formules!E:K,7,0))</f>
        <v>27.9</v>
      </c>
      <c r="G218" s="17">
        <f>IF(ISBLANK(B218),"",VLOOKUP(B218,formules!E:L,8,0))</f>
        <v>35.9</v>
      </c>
      <c r="H218" s="1" t="str">
        <f t="shared" si="18"/>
        <v>Size</v>
      </c>
      <c r="I218" s="1" t="s">
        <v>10</v>
      </c>
      <c r="J218" s="1">
        <f t="shared" si="19"/>
        <v>1</v>
      </c>
    </row>
    <row r="219" spans="1:10" x14ac:dyDescent="0.2">
      <c r="A219" s="1" t="str">
        <f t="shared" si="15"/>
        <v>variation</v>
      </c>
      <c r="B219" s="1" t="s">
        <v>219</v>
      </c>
      <c r="C219" s="15">
        <f t="shared" ca="1" si="16"/>
        <v>6642537441968</v>
      </c>
      <c r="D219" s="1" t="str">
        <f>IF(ISBLANK(B219),"",VLOOKUP(B219,formules!E:F,2,0))</f>
        <v>Striped triangle bikini top orange</v>
      </c>
      <c r="E219" s="1">
        <f t="shared" si="17"/>
        <v>1</v>
      </c>
      <c r="F219" s="17">
        <f>IF(ISBLANK(B219),"",VLOOKUP(B219,formules!E:K,7,0))</f>
        <v>27.9</v>
      </c>
      <c r="G219" s="17">
        <f>IF(ISBLANK(B219),"",VLOOKUP(B219,formules!E:L,8,0))</f>
        <v>35.9</v>
      </c>
      <c r="H219" s="1" t="str">
        <f t="shared" si="18"/>
        <v>Size</v>
      </c>
      <c r="I219" s="1" t="s">
        <v>96</v>
      </c>
      <c r="J219" s="1">
        <f t="shared" si="19"/>
        <v>1</v>
      </c>
    </row>
    <row r="220" spans="1:10" x14ac:dyDescent="0.2">
      <c r="A220" s="1" t="str">
        <f t="shared" si="15"/>
        <v>variation</v>
      </c>
      <c r="B220" s="1" t="s">
        <v>219</v>
      </c>
      <c r="C220" s="15">
        <f t="shared" ca="1" si="16"/>
        <v>3844095040145</v>
      </c>
      <c r="D220" s="1" t="str">
        <f>IF(ISBLANK(B220),"",VLOOKUP(B220,formules!E:F,2,0))</f>
        <v>Striped triangle bikini top orange</v>
      </c>
      <c r="E220" s="1">
        <f t="shared" si="17"/>
        <v>1</v>
      </c>
      <c r="F220" s="17">
        <f>IF(ISBLANK(B220),"",VLOOKUP(B220,formules!E:K,7,0))</f>
        <v>27.9</v>
      </c>
      <c r="G220" s="17">
        <f>IF(ISBLANK(B220),"",VLOOKUP(B220,formules!E:L,8,0))</f>
        <v>35.9</v>
      </c>
      <c r="H220" s="1" t="str">
        <f t="shared" si="18"/>
        <v>Size</v>
      </c>
      <c r="I220" s="1" t="s">
        <v>171</v>
      </c>
      <c r="J220" s="1">
        <f t="shared" si="19"/>
        <v>1</v>
      </c>
    </row>
    <row r="221" spans="1:10" x14ac:dyDescent="0.2">
      <c r="A221" s="1" t="str">
        <f t="shared" si="15"/>
        <v>variation</v>
      </c>
      <c r="B221" s="1" t="s">
        <v>219</v>
      </c>
      <c r="C221" s="15">
        <f t="shared" ca="1" si="16"/>
        <v>1897144296085</v>
      </c>
      <c r="D221" s="1" t="str">
        <f>IF(ISBLANK(B221),"",VLOOKUP(B221,formules!E:F,2,0))</f>
        <v>Striped triangle bikini top orange</v>
      </c>
      <c r="E221" s="1">
        <f t="shared" si="17"/>
        <v>1</v>
      </c>
      <c r="F221" s="17">
        <f>IF(ISBLANK(B221),"",VLOOKUP(B221,formules!E:K,7,0))</f>
        <v>27.9</v>
      </c>
      <c r="G221" s="17">
        <f>IF(ISBLANK(B221),"",VLOOKUP(B221,formules!E:L,8,0))</f>
        <v>35.9</v>
      </c>
      <c r="H221" s="1" t="str">
        <f t="shared" si="18"/>
        <v>Size</v>
      </c>
      <c r="I221" s="1" t="s">
        <v>172</v>
      </c>
      <c r="J221" s="1">
        <f t="shared" si="19"/>
        <v>1</v>
      </c>
    </row>
    <row r="222" spans="1:10" x14ac:dyDescent="0.2">
      <c r="A222" s="1" t="str">
        <f t="shared" si="15"/>
        <v/>
      </c>
      <c r="B222" s="1"/>
      <c r="C222" s="15" t="str">
        <f t="shared" ca="1" si="16"/>
        <v/>
      </c>
      <c r="D222" s="1" t="str">
        <f>IF(ISBLANK(B222),"",VLOOKUP(B222,formules!E:F,2,0))</f>
        <v/>
      </c>
      <c r="E222" s="1" t="str">
        <f t="shared" si="17"/>
        <v/>
      </c>
      <c r="F222" s="17" t="str">
        <f>IF(ISBLANK(B222),"",VLOOKUP(B222,formules!E:K,7,0))</f>
        <v/>
      </c>
      <c r="G222" s="17" t="str">
        <f>IF(ISBLANK(B222),"",VLOOKUP(B222,formules!E:L,8,0))</f>
        <v/>
      </c>
      <c r="H222" s="1" t="str">
        <f t="shared" si="18"/>
        <v/>
      </c>
      <c r="I222" s="1"/>
      <c r="J222" s="1" t="str">
        <f t="shared" si="19"/>
        <v/>
      </c>
    </row>
    <row r="223" spans="1:10" x14ac:dyDescent="0.2">
      <c r="A223" s="1" t="str">
        <f t="shared" si="15"/>
        <v/>
      </c>
      <c r="B223" s="1"/>
      <c r="C223" s="15" t="str">
        <f t="shared" ca="1" si="16"/>
        <v/>
      </c>
      <c r="D223" s="1" t="str">
        <f>IF(ISBLANK(B223),"",VLOOKUP(B223,formules!E:F,2,0))</f>
        <v/>
      </c>
      <c r="E223" s="1" t="str">
        <f t="shared" si="17"/>
        <v/>
      </c>
      <c r="F223" s="17" t="str">
        <f>IF(ISBLANK(B223),"",VLOOKUP(B223,formules!E:K,7,0))</f>
        <v/>
      </c>
      <c r="G223" s="17" t="str">
        <f>IF(ISBLANK(B223),"",VLOOKUP(B223,formules!E:L,8,0))</f>
        <v/>
      </c>
      <c r="H223" s="1" t="str">
        <f t="shared" si="18"/>
        <v/>
      </c>
      <c r="I223" s="1"/>
      <c r="J223" s="1" t="str">
        <f t="shared" si="19"/>
        <v/>
      </c>
    </row>
    <row r="224" spans="1:10" x14ac:dyDescent="0.2">
      <c r="A224" s="1" t="str">
        <f t="shared" si="15"/>
        <v/>
      </c>
      <c r="B224" s="1"/>
      <c r="C224" s="15" t="str">
        <f t="shared" ca="1" si="16"/>
        <v/>
      </c>
      <c r="D224" s="1" t="str">
        <f>IF(ISBLANK(B224),"",VLOOKUP(B224,formules!E:F,2,0))</f>
        <v/>
      </c>
      <c r="E224" s="1" t="str">
        <f t="shared" si="17"/>
        <v/>
      </c>
      <c r="F224" s="17" t="str">
        <f>IF(ISBLANK(B224),"",VLOOKUP(B224,formules!E:K,7,0))</f>
        <v/>
      </c>
      <c r="G224" s="17" t="str">
        <f>IF(ISBLANK(B224),"",VLOOKUP(B224,formules!E:L,8,0))</f>
        <v/>
      </c>
      <c r="H224" s="1" t="str">
        <f t="shared" si="18"/>
        <v/>
      </c>
      <c r="I224" s="1"/>
      <c r="J224" s="1" t="str">
        <f t="shared" si="19"/>
        <v/>
      </c>
    </row>
    <row r="225" spans="1:10" x14ac:dyDescent="0.2">
      <c r="A225" s="1" t="str">
        <f t="shared" si="15"/>
        <v/>
      </c>
      <c r="B225" s="1"/>
      <c r="C225" s="15" t="str">
        <f t="shared" ca="1" si="16"/>
        <v/>
      </c>
      <c r="D225" s="1" t="str">
        <f>IF(ISBLANK(B225),"",VLOOKUP(B225,formules!E:F,2,0))</f>
        <v/>
      </c>
      <c r="E225" s="1" t="str">
        <f t="shared" si="17"/>
        <v/>
      </c>
      <c r="F225" s="17" t="str">
        <f>IF(ISBLANK(B225),"",VLOOKUP(B225,formules!E:K,7,0))</f>
        <v/>
      </c>
      <c r="G225" s="17" t="str">
        <f>IF(ISBLANK(B225),"",VLOOKUP(B225,formules!E:L,8,0))</f>
        <v/>
      </c>
      <c r="H225" s="1" t="str">
        <f t="shared" si="18"/>
        <v/>
      </c>
      <c r="I225" s="1"/>
      <c r="J225" s="1" t="str">
        <f t="shared" si="19"/>
        <v/>
      </c>
    </row>
    <row r="226" spans="1:10" x14ac:dyDescent="0.2">
      <c r="A226" s="1" t="str">
        <f t="shared" si="15"/>
        <v/>
      </c>
      <c r="B226" s="1"/>
      <c r="C226" s="15" t="str">
        <f t="shared" ca="1" si="16"/>
        <v/>
      </c>
      <c r="D226" s="1" t="str">
        <f>IF(ISBLANK(B226),"",VLOOKUP(B226,formules!E:F,2,0))</f>
        <v/>
      </c>
      <c r="E226" s="1" t="str">
        <f t="shared" si="17"/>
        <v/>
      </c>
      <c r="F226" s="17" t="str">
        <f>IF(ISBLANK(B226),"",VLOOKUP(B226,formules!E:K,7,0))</f>
        <v/>
      </c>
      <c r="G226" s="17" t="str">
        <f>IF(ISBLANK(B226),"",VLOOKUP(B226,formules!E:L,8,0))</f>
        <v/>
      </c>
      <c r="H226" s="1" t="str">
        <f t="shared" si="18"/>
        <v/>
      </c>
      <c r="I226" s="1"/>
      <c r="J226" s="1" t="str">
        <f t="shared" si="19"/>
        <v/>
      </c>
    </row>
    <row r="227" spans="1:10" x14ac:dyDescent="0.2">
      <c r="A227" s="1" t="str">
        <f t="shared" si="15"/>
        <v/>
      </c>
      <c r="B227" s="1"/>
      <c r="C227" s="15" t="str">
        <f t="shared" ca="1" si="16"/>
        <v/>
      </c>
      <c r="D227" s="1" t="str">
        <f>IF(ISBLANK(B227),"",VLOOKUP(B227,formules!E:F,2,0))</f>
        <v/>
      </c>
      <c r="E227" s="1" t="str">
        <f t="shared" si="17"/>
        <v/>
      </c>
      <c r="F227" s="17" t="str">
        <f>IF(ISBLANK(B227),"",VLOOKUP(B227,formules!E:K,7,0))</f>
        <v/>
      </c>
      <c r="G227" s="17" t="str">
        <f>IF(ISBLANK(B227),"",VLOOKUP(B227,formules!E:L,8,0))</f>
        <v/>
      </c>
      <c r="H227" s="1" t="str">
        <f t="shared" si="18"/>
        <v/>
      </c>
      <c r="I227" s="1"/>
      <c r="J227" s="1" t="str">
        <f t="shared" si="19"/>
        <v/>
      </c>
    </row>
    <row r="228" spans="1:10" x14ac:dyDescent="0.2">
      <c r="A228" s="1" t="str">
        <f t="shared" si="15"/>
        <v/>
      </c>
      <c r="B228" s="1"/>
      <c r="C228" s="15" t="str">
        <f t="shared" ca="1" si="16"/>
        <v/>
      </c>
      <c r="D228" s="1" t="str">
        <f>IF(ISBLANK(B228),"",VLOOKUP(B228,formules!E:F,2,0))</f>
        <v/>
      </c>
      <c r="E228" s="1" t="str">
        <f t="shared" si="17"/>
        <v/>
      </c>
      <c r="F228" s="17" t="str">
        <f>IF(ISBLANK(B228),"",VLOOKUP(B228,formules!E:K,7,0))</f>
        <v/>
      </c>
      <c r="G228" s="17" t="str">
        <f>IF(ISBLANK(B228),"",VLOOKUP(B228,formules!E:L,8,0))</f>
        <v/>
      </c>
      <c r="H228" s="1" t="str">
        <f t="shared" si="18"/>
        <v/>
      </c>
      <c r="I228" s="1"/>
      <c r="J228" s="1" t="str">
        <f t="shared" si="19"/>
        <v/>
      </c>
    </row>
    <row r="229" spans="1:10" x14ac:dyDescent="0.2">
      <c r="A229" s="1" t="str">
        <f t="shared" si="15"/>
        <v/>
      </c>
      <c r="B229" s="1"/>
      <c r="C229" s="15" t="str">
        <f t="shared" ca="1" si="16"/>
        <v/>
      </c>
      <c r="D229" s="1" t="str">
        <f>IF(ISBLANK(B229),"",VLOOKUP(B229,formules!E:F,2,0))</f>
        <v/>
      </c>
      <c r="E229" s="1" t="str">
        <f t="shared" si="17"/>
        <v/>
      </c>
      <c r="F229" s="17" t="str">
        <f>IF(ISBLANK(B229),"",VLOOKUP(B229,formules!E:K,7,0))</f>
        <v/>
      </c>
      <c r="G229" s="17" t="str">
        <f>IF(ISBLANK(B229),"",VLOOKUP(B229,formules!E:L,8,0))</f>
        <v/>
      </c>
      <c r="H229" s="1" t="str">
        <f t="shared" si="18"/>
        <v/>
      </c>
      <c r="I229" s="1"/>
      <c r="J229" s="1" t="str">
        <f t="shared" si="19"/>
        <v/>
      </c>
    </row>
    <row r="230" spans="1:10" x14ac:dyDescent="0.2">
      <c r="A230" s="1" t="str">
        <f t="shared" si="15"/>
        <v/>
      </c>
      <c r="B230" s="1"/>
      <c r="C230" s="15" t="str">
        <f t="shared" ca="1" si="16"/>
        <v/>
      </c>
      <c r="D230" s="1" t="str">
        <f>IF(ISBLANK(B230),"",VLOOKUP(B230,formules!E:F,2,0))</f>
        <v/>
      </c>
      <c r="E230" s="1" t="str">
        <f t="shared" si="17"/>
        <v/>
      </c>
      <c r="F230" s="17" t="str">
        <f>IF(ISBLANK(B230),"",VLOOKUP(B230,formules!E:K,7,0))</f>
        <v/>
      </c>
      <c r="G230" s="17" t="str">
        <f>IF(ISBLANK(B230),"",VLOOKUP(B230,formules!E:L,8,0))</f>
        <v/>
      </c>
      <c r="H230" s="1" t="str">
        <f t="shared" si="18"/>
        <v/>
      </c>
      <c r="I230" s="1"/>
      <c r="J230" s="1" t="str">
        <f t="shared" si="19"/>
        <v/>
      </c>
    </row>
    <row r="231" spans="1:10" x14ac:dyDescent="0.2">
      <c r="A231" s="1" t="str">
        <f t="shared" si="15"/>
        <v/>
      </c>
      <c r="B231" s="1"/>
      <c r="C231" s="15" t="str">
        <f t="shared" ca="1" si="16"/>
        <v/>
      </c>
      <c r="D231" s="1" t="str">
        <f>IF(ISBLANK(B231),"",VLOOKUP(B231,formules!E:F,2,0))</f>
        <v/>
      </c>
      <c r="E231" s="1" t="str">
        <f t="shared" si="17"/>
        <v/>
      </c>
      <c r="F231" s="17" t="str">
        <f>IF(ISBLANK(B231),"",VLOOKUP(B231,formules!E:K,7,0))</f>
        <v/>
      </c>
      <c r="G231" s="17" t="str">
        <f>IF(ISBLANK(B231),"",VLOOKUP(B231,formules!E:L,8,0))</f>
        <v/>
      </c>
      <c r="H231" s="1" t="str">
        <f t="shared" si="18"/>
        <v/>
      </c>
      <c r="I231" s="1"/>
      <c r="J231" s="1" t="str">
        <f t="shared" si="19"/>
        <v/>
      </c>
    </row>
    <row r="232" spans="1:10" x14ac:dyDescent="0.2">
      <c r="A232" s="1" t="str">
        <f t="shared" si="15"/>
        <v/>
      </c>
      <c r="B232" s="1"/>
      <c r="C232" s="15" t="str">
        <f t="shared" ca="1" si="16"/>
        <v/>
      </c>
      <c r="D232" s="1" t="str">
        <f>IF(ISBLANK(B232),"",VLOOKUP(B232,formules!E:F,2,0))</f>
        <v/>
      </c>
      <c r="E232" s="1" t="str">
        <f t="shared" si="17"/>
        <v/>
      </c>
      <c r="F232" s="17" t="str">
        <f>IF(ISBLANK(B232),"",VLOOKUP(B232,formules!E:K,7,0))</f>
        <v/>
      </c>
      <c r="G232" s="17" t="str">
        <f>IF(ISBLANK(B232),"",VLOOKUP(B232,formules!E:L,8,0))</f>
        <v/>
      </c>
      <c r="H232" s="1" t="str">
        <f t="shared" si="18"/>
        <v/>
      </c>
      <c r="I232" s="1"/>
      <c r="J232" s="1" t="str">
        <f t="shared" si="19"/>
        <v/>
      </c>
    </row>
    <row r="233" spans="1:10" x14ac:dyDescent="0.2">
      <c r="A233" s="1" t="str">
        <f t="shared" si="15"/>
        <v/>
      </c>
      <c r="B233" s="1"/>
      <c r="C233" s="15" t="str">
        <f t="shared" ca="1" si="16"/>
        <v/>
      </c>
      <c r="D233" s="1" t="str">
        <f>IF(ISBLANK(B233),"",VLOOKUP(B233,formules!E:F,2,0))</f>
        <v/>
      </c>
      <c r="E233" s="1" t="str">
        <f t="shared" si="17"/>
        <v/>
      </c>
      <c r="F233" s="17" t="str">
        <f>IF(ISBLANK(B233),"",VLOOKUP(B233,formules!E:K,7,0))</f>
        <v/>
      </c>
      <c r="G233" s="17" t="str">
        <f>IF(ISBLANK(B233),"",VLOOKUP(B233,formules!E:L,8,0))</f>
        <v/>
      </c>
      <c r="H233" s="1" t="str">
        <f t="shared" si="18"/>
        <v/>
      </c>
      <c r="I233" s="1"/>
      <c r="J233" s="1" t="str">
        <f t="shared" si="19"/>
        <v/>
      </c>
    </row>
    <row r="234" spans="1:10" x14ac:dyDescent="0.2">
      <c r="A234" s="1" t="str">
        <f t="shared" si="15"/>
        <v/>
      </c>
      <c r="B234" s="1"/>
      <c r="C234" s="15" t="str">
        <f t="shared" ca="1" si="16"/>
        <v/>
      </c>
      <c r="D234" s="1" t="str">
        <f>IF(ISBLANK(B234),"",VLOOKUP(B234,formules!E:F,2,0))</f>
        <v/>
      </c>
      <c r="E234" s="1" t="str">
        <f t="shared" si="17"/>
        <v/>
      </c>
      <c r="F234" s="17" t="str">
        <f>IF(ISBLANK(B234),"",VLOOKUP(B234,formules!E:K,7,0))</f>
        <v/>
      </c>
      <c r="G234" s="17" t="str">
        <f>IF(ISBLANK(B234),"",VLOOKUP(B234,formules!E:L,8,0))</f>
        <v/>
      </c>
      <c r="H234" s="1" t="str">
        <f t="shared" si="18"/>
        <v/>
      </c>
      <c r="I234" s="1"/>
      <c r="J234" s="1" t="str">
        <f t="shared" si="19"/>
        <v/>
      </c>
    </row>
    <row r="235" spans="1:10" x14ac:dyDescent="0.2">
      <c r="A235" s="1" t="str">
        <f t="shared" si="15"/>
        <v/>
      </c>
      <c r="B235" s="1"/>
      <c r="C235" s="15" t="str">
        <f t="shared" ca="1" si="16"/>
        <v/>
      </c>
      <c r="D235" s="1" t="str">
        <f>IF(ISBLANK(B235),"",VLOOKUP(B235,formules!E:F,2,0))</f>
        <v/>
      </c>
      <c r="E235" s="1" t="str">
        <f t="shared" si="17"/>
        <v/>
      </c>
      <c r="F235" s="17" t="str">
        <f>IF(ISBLANK(B235),"",VLOOKUP(B235,formules!E:K,7,0))</f>
        <v/>
      </c>
      <c r="G235" s="17" t="str">
        <f>IF(ISBLANK(B235),"",VLOOKUP(B235,formules!E:L,8,0))</f>
        <v/>
      </c>
      <c r="H235" s="1" t="str">
        <f t="shared" si="18"/>
        <v/>
      </c>
      <c r="I235" s="1"/>
      <c r="J235" s="1" t="str">
        <f t="shared" si="19"/>
        <v/>
      </c>
    </row>
    <row r="236" spans="1:10" x14ac:dyDescent="0.2">
      <c r="A236" s="1" t="str">
        <f t="shared" si="15"/>
        <v/>
      </c>
      <c r="B236" s="1"/>
      <c r="C236" s="15" t="str">
        <f t="shared" ca="1" si="16"/>
        <v/>
      </c>
      <c r="D236" s="1" t="str">
        <f>IF(ISBLANK(B236),"",VLOOKUP(B236,formules!E:F,2,0))</f>
        <v/>
      </c>
      <c r="E236" s="1" t="str">
        <f t="shared" si="17"/>
        <v/>
      </c>
      <c r="F236" s="17" t="str">
        <f>IF(ISBLANK(B236),"",VLOOKUP(B236,formules!E:K,7,0))</f>
        <v/>
      </c>
      <c r="G236" s="17" t="str">
        <f>IF(ISBLANK(B236),"",VLOOKUP(B236,formules!E:L,8,0))</f>
        <v/>
      </c>
      <c r="H236" s="1" t="str">
        <f t="shared" si="18"/>
        <v/>
      </c>
      <c r="I236" s="1"/>
      <c r="J236" s="1" t="str">
        <f t="shared" si="19"/>
        <v/>
      </c>
    </row>
    <row r="237" spans="1:10" x14ac:dyDescent="0.2">
      <c r="A237" s="1" t="str">
        <f t="shared" si="15"/>
        <v/>
      </c>
      <c r="B237" s="1"/>
      <c r="C237" s="15" t="str">
        <f t="shared" ca="1" si="16"/>
        <v/>
      </c>
      <c r="D237" s="1" t="str">
        <f>IF(ISBLANK(B237),"",VLOOKUP(B237,formules!E:F,2,0))</f>
        <v/>
      </c>
      <c r="E237" s="1" t="str">
        <f t="shared" si="17"/>
        <v/>
      </c>
      <c r="F237" s="17" t="str">
        <f>IF(ISBLANK(B237),"",VLOOKUP(B237,formules!E:K,7,0))</f>
        <v/>
      </c>
      <c r="G237" s="17" t="str">
        <f>IF(ISBLANK(B237),"",VLOOKUP(B237,formules!E:L,8,0))</f>
        <v/>
      </c>
      <c r="H237" s="1" t="str">
        <f t="shared" si="18"/>
        <v/>
      </c>
      <c r="I237" s="1"/>
      <c r="J237" s="1" t="str">
        <f t="shared" si="19"/>
        <v/>
      </c>
    </row>
    <row r="238" spans="1:10" x14ac:dyDescent="0.2">
      <c r="A238" s="1" t="str">
        <f t="shared" si="15"/>
        <v/>
      </c>
      <c r="B238" s="1"/>
      <c r="C238" s="15" t="str">
        <f t="shared" ca="1" si="16"/>
        <v/>
      </c>
      <c r="D238" s="1" t="str">
        <f>IF(ISBLANK(B238),"",VLOOKUP(B238,formules!E:F,2,0))</f>
        <v/>
      </c>
      <c r="E238" s="1" t="str">
        <f t="shared" si="17"/>
        <v/>
      </c>
      <c r="F238" s="17" t="str">
        <f>IF(ISBLANK(B238),"",VLOOKUP(B238,formules!E:K,7,0))</f>
        <v/>
      </c>
      <c r="G238" s="17" t="str">
        <f>IF(ISBLANK(B238),"",VLOOKUP(B238,formules!E:L,8,0))</f>
        <v/>
      </c>
      <c r="H238" s="1" t="str">
        <f t="shared" si="18"/>
        <v/>
      </c>
      <c r="I238" s="1"/>
      <c r="J238" s="1" t="str">
        <f t="shared" si="19"/>
        <v/>
      </c>
    </row>
    <row r="239" spans="1:10" x14ac:dyDescent="0.2">
      <c r="A239" s="1" t="str">
        <f t="shared" si="15"/>
        <v/>
      </c>
      <c r="B239" s="1"/>
      <c r="C239" s="15" t="str">
        <f t="shared" ca="1" si="16"/>
        <v/>
      </c>
      <c r="D239" s="1" t="str">
        <f>IF(ISBLANK(B239),"",VLOOKUP(B239,formules!E:F,2,0))</f>
        <v/>
      </c>
      <c r="E239" s="1" t="str">
        <f t="shared" si="17"/>
        <v/>
      </c>
      <c r="F239" s="17" t="str">
        <f>IF(ISBLANK(B239),"",VLOOKUP(B239,formules!E:K,7,0))</f>
        <v/>
      </c>
      <c r="G239" s="17" t="str">
        <f>IF(ISBLANK(B239),"",VLOOKUP(B239,formules!E:L,8,0))</f>
        <v/>
      </c>
      <c r="H239" s="1" t="str">
        <f t="shared" si="18"/>
        <v/>
      </c>
      <c r="I239" s="1"/>
      <c r="J239" s="1" t="str">
        <f t="shared" si="19"/>
        <v/>
      </c>
    </row>
    <row r="240" spans="1:10" x14ac:dyDescent="0.2">
      <c r="A240" s="1" t="str">
        <f t="shared" si="15"/>
        <v/>
      </c>
      <c r="B240" s="1"/>
      <c r="C240" s="15" t="str">
        <f t="shared" ca="1" si="16"/>
        <v/>
      </c>
      <c r="D240" s="1" t="str">
        <f>IF(ISBLANK(B240),"",VLOOKUP(B240,formules!E:F,2,0))</f>
        <v/>
      </c>
      <c r="E240" s="1" t="str">
        <f t="shared" si="17"/>
        <v/>
      </c>
      <c r="F240" s="17" t="str">
        <f>IF(ISBLANK(B240),"",VLOOKUP(B240,formules!E:K,7,0))</f>
        <v/>
      </c>
      <c r="G240" s="17" t="str">
        <f>IF(ISBLANK(B240),"",VLOOKUP(B240,formules!E:L,8,0))</f>
        <v/>
      </c>
      <c r="H240" s="1" t="str">
        <f t="shared" si="18"/>
        <v/>
      </c>
      <c r="I240" s="1"/>
      <c r="J240" s="1" t="str">
        <f t="shared" si="19"/>
        <v/>
      </c>
    </row>
    <row r="241" spans="1:10" x14ac:dyDescent="0.2">
      <c r="A241" s="1" t="str">
        <f t="shared" si="15"/>
        <v/>
      </c>
      <c r="B241" s="1"/>
      <c r="C241" s="15" t="str">
        <f t="shared" ca="1" si="16"/>
        <v/>
      </c>
      <c r="D241" s="1" t="str">
        <f>IF(ISBLANK(B241),"",VLOOKUP(B241,formules!E:F,2,0))</f>
        <v/>
      </c>
      <c r="E241" s="1" t="str">
        <f t="shared" si="17"/>
        <v/>
      </c>
      <c r="F241" s="17" t="str">
        <f>IF(ISBLANK(B241),"",VLOOKUP(B241,formules!E:K,7,0))</f>
        <v/>
      </c>
      <c r="G241" s="17" t="str">
        <f>IF(ISBLANK(B241),"",VLOOKUP(B241,formules!E:L,8,0))</f>
        <v/>
      </c>
      <c r="H241" s="1" t="str">
        <f t="shared" si="18"/>
        <v/>
      </c>
      <c r="I241" s="1"/>
      <c r="J241" s="1" t="str">
        <f t="shared" si="19"/>
        <v/>
      </c>
    </row>
    <row r="242" spans="1:10" x14ac:dyDescent="0.2">
      <c r="A242" s="1" t="str">
        <f t="shared" si="15"/>
        <v/>
      </c>
      <c r="B242" s="1"/>
      <c r="C242" s="15" t="str">
        <f t="shared" ca="1" si="16"/>
        <v/>
      </c>
      <c r="D242" s="1" t="str">
        <f>IF(ISBLANK(B242),"",VLOOKUP(B242,formules!E:F,2,0))</f>
        <v/>
      </c>
      <c r="E242" s="1" t="str">
        <f t="shared" si="17"/>
        <v/>
      </c>
      <c r="F242" s="17" t="str">
        <f>IF(ISBLANK(B242),"",VLOOKUP(B242,formules!E:K,7,0))</f>
        <v/>
      </c>
      <c r="G242" s="17" t="str">
        <f>IF(ISBLANK(B242),"",VLOOKUP(B242,formules!E:L,8,0))</f>
        <v/>
      </c>
      <c r="H242" s="1" t="str">
        <f t="shared" si="18"/>
        <v/>
      </c>
      <c r="I242" s="1"/>
      <c r="J242" s="1" t="str">
        <f t="shared" si="19"/>
        <v/>
      </c>
    </row>
    <row r="243" spans="1:10" x14ac:dyDescent="0.2">
      <c r="A243" s="1" t="str">
        <f t="shared" si="15"/>
        <v/>
      </c>
      <c r="B243" s="1"/>
      <c r="C243" s="15" t="str">
        <f t="shared" ca="1" si="16"/>
        <v/>
      </c>
      <c r="D243" s="1" t="str">
        <f>IF(ISBLANK(B243),"",VLOOKUP(B243,formules!E:F,2,0))</f>
        <v/>
      </c>
      <c r="E243" s="1" t="str">
        <f t="shared" si="17"/>
        <v/>
      </c>
      <c r="F243" s="17" t="str">
        <f>IF(ISBLANK(B243),"",VLOOKUP(B243,formules!E:K,7,0))</f>
        <v/>
      </c>
      <c r="G243" s="17" t="str">
        <f>IF(ISBLANK(B243),"",VLOOKUP(B243,formules!E:L,8,0))</f>
        <v/>
      </c>
      <c r="H243" s="1" t="str">
        <f t="shared" si="18"/>
        <v/>
      </c>
      <c r="I243" s="1"/>
      <c r="J243" s="1" t="str">
        <f t="shared" si="19"/>
        <v/>
      </c>
    </row>
    <row r="244" spans="1:10" x14ac:dyDescent="0.2">
      <c r="A244" s="1" t="str">
        <f t="shared" si="15"/>
        <v/>
      </c>
      <c r="B244" s="1"/>
      <c r="C244" s="15" t="str">
        <f t="shared" ca="1" si="16"/>
        <v/>
      </c>
      <c r="D244" s="1" t="str">
        <f>IF(ISBLANK(B244),"",VLOOKUP(B244,formules!E:F,2,0))</f>
        <v/>
      </c>
      <c r="E244" s="1" t="str">
        <f t="shared" si="17"/>
        <v/>
      </c>
      <c r="F244" s="17" t="str">
        <f>IF(ISBLANK(B244),"",VLOOKUP(B244,formules!E:K,7,0))</f>
        <v/>
      </c>
      <c r="G244" s="17" t="str">
        <f>IF(ISBLANK(B244),"",VLOOKUP(B244,formules!E:L,8,0))</f>
        <v/>
      </c>
      <c r="H244" s="1" t="str">
        <f t="shared" si="18"/>
        <v/>
      </c>
      <c r="I244" s="1"/>
      <c r="J244" s="1" t="str">
        <f t="shared" si="19"/>
        <v/>
      </c>
    </row>
    <row r="245" spans="1:10" x14ac:dyDescent="0.2">
      <c r="A245" s="1" t="str">
        <f t="shared" si="15"/>
        <v/>
      </c>
      <c r="B245" s="1"/>
      <c r="C245" s="15" t="str">
        <f t="shared" ca="1" si="16"/>
        <v/>
      </c>
      <c r="D245" s="1" t="str">
        <f>IF(ISBLANK(B245),"",VLOOKUP(B245,formules!E:F,2,0))</f>
        <v/>
      </c>
      <c r="E245" s="1" t="str">
        <f t="shared" si="17"/>
        <v/>
      </c>
      <c r="F245" s="17" t="str">
        <f>IF(ISBLANK(B245),"",VLOOKUP(B245,formules!E:K,7,0))</f>
        <v/>
      </c>
      <c r="G245" s="17" t="str">
        <f>IF(ISBLANK(B245),"",VLOOKUP(B245,formules!E:L,8,0))</f>
        <v/>
      </c>
      <c r="H245" s="1" t="str">
        <f t="shared" si="18"/>
        <v/>
      </c>
      <c r="I245" s="1"/>
      <c r="J245" s="1" t="str">
        <f t="shared" si="19"/>
        <v/>
      </c>
    </row>
    <row r="246" spans="1:10" x14ac:dyDescent="0.2">
      <c r="A246" s="1" t="str">
        <f t="shared" si="15"/>
        <v/>
      </c>
      <c r="B246" s="1"/>
      <c r="C246" s="15" t="str">
        <f t="shared" ca="1" si="16"/>
        <v/>
      </c>
      <c r="D246" s="1" t="str">
        <f>IF(ISBLANK(B246),"",VLOOKUP(B246,formules!E:F,2,0))</f>
        <v/>
      </c>
      <c r="E246" s="1" t="str">
        <f t="shared" si="17"/>
        <v/>
      </c>
      <c r="F246" s="17" t="str">
        <f>IF(ISBLANK(B246),"",VLOOKUP(B246,formules!E:K,7,0))</f>
        <v/>
      </c>
      <c r="G246" s="17" t="str">
        <f>IF(ISBLANK(B246),"",VLOOKUP(B246,formules!E:L,8,0))</f>
        <v/>
      </c>
      <c r="H246" s="1" t="str">
        <f t="shared" si="18"/>
        <v/>
      </c>
      <c r="I246" s="1"/>
      <c r="J246" s="1" t="str">
        <f t="shared" si="19"/>
        <v/>
      </c>
    </row>
    <row r="247" spans="1:10" x14ac:dyDescent="0.2">
      <c r="A247" s="1" t="str">
        <f t="shared" si="15"/>
        <v/>
      </c>
      <c r="B247" s="1"/>
      <c r="C247" s="15" t="str">
        <f t="shared" ca="1" si="16"/>
        <v/>
      </c>
      <c r="D247" s="1" t="str">
        <f>IF(ISBLANK(B247),"",VLOOKUP(B247,formules!E:F,2,0))</f>
        <v/>
      </c>
      <c r="E247" s="1" t="str">
        <f t="shared" si="17"/>
        <v/>
      </c>
      <c r="F247" s="17" t="str">
        <f>IF(ISBLANK(B247),"",VLOOKUP(B247,formules!E:K,7,0))</f>
        <v/>
      </c>
      <c r="G247" s="17" t="str">
        <f>IF(ISBLANK(B247),"",VLOOKUP(B247,formules!E:L,8,0))</f>
        <v/>
      </c>
      <c r="H247" s="1" t="str">
        <f t="shared" si="18"/>
        <v/>
      </c>
      <c r="I247" s="1"/>
      <c r="J247" s="1" t="str">
        <f t="shared" si="19"/>
        <v/>
      </c>
    </row>
    <row r="248" spans="1:10" x14ac:dyDescent="0.2">
      <c r="A248" s="1" t="str">
        <f t="shared" si="15"/>
        <v/>
      </c>
      <c r="B248" s="1"/>
      <c r="C248" s="15" t="str">
        <f t="shared" ca="1" si="16"/>
        <v/>
      </c>
      <c r="D248" s="1" t="str">
        <f>IF(ISBLANK(B248),"",VLOOKUP(B248,formules!E:F,2,0))</f>
        <v/>
      </c>
      <c r="E248" s="1" t="str">
        <f t="shared" si="17"/>
        <v/>
      </c>
      <c r="F248" s="17" t="str">
        <f>IF(ISBLANK(B248),"",VLOOKUP(B248,formules!E:K,7,0))</f>
        <v/>
      </c>
      <c r="G248" s="17" t="str">
        <f>IF(ISBLANK(B248),"",VLOOKUP(B248,formules!E:L,8,0))</f>
        <v/>
      </c>
      <c r="H248" s="1" t="str">
        <f t="shared" si="18"/>
        <v/>
      </c>
      <c r="I248" s="1"/>
      <c r="J248" s="1" t="str">
        <f t="shared" si="19"/>
        <v/>
      </c>
    </row>
    <row r="249" spans="1:10" x14ac:dyDescent="0.2">
      <c r="A249" s="1" t="str">
        <f t="shared" si="15"/>
        <v/>
      </c>
      <c r="B249" s="1"/>
      <c r="C249" s="15" t="str">
        <f t="shared" ca="1" si="16"/>
        <v/>
      </c>
      <c r="D249" s="1" t="str">
        <f>IF(ISBLANK(B249),"",VLOOKUP(B249,formules!E:F,2,0))</f>
        <v/>
      </c>
      <c r="E249" s="1" t="str">
        <f t="shared" si="17"/>
        <v/>
      </c>
      <c r="F249" s="17" t="str">
        <f>IF(ISBLANK(B249),"",VLOOKUP(B249,formules!E:K,7,0))</f>
        <v/>
      </c>
      <c r="G249" s="17" t="str">
        <f>IF(ISBLANK(B249),"",VLOOKUP(B249,formules!E:L,8,0))</f>
        <v/>
      </c>
      <c r="H249" s="1" t="str">
        <f t="shared" si="18"/>
        <v/>
      </c>
      <c r="I249" s="1"/>
      <c r="J249" s="1" t="str">
        <f t="shared" si="19"/>
        <v/>
      </c>
    </row>
    <row r="250" spans="1:10" x14ac:dyDescent="0.2">
      <c r="A250" s="1" t="str">
        <f t="shared" si="15"/>
        <v/>
      </c>
      <c r="B250" s="1"/>
      <c r="C250" s="15" t="str">
        <f t="shared" ca="1" si="16"/>
        <v/>
      </c>
      <c r="D250" s="1" t="str">
        <f>IF(ISBLANK(B250),"",VLOOKUP(B250,formules!E:F,2,0))</f>
        <v/>
      </c>
      <c r="E250" s="1" t="str">
        <f t="shared" si="17"/>
        <v/>
      </c>
      <c r="F250" s="17" t="str">
        <f>IF(ISBLANK(B250),"",VLOOKUP(B250,formules!E:K,7,0))</f>
        <v/>
      </c>
      <c r="G250" s="17" t="str">
        <f>IF(ISBLANK(B250),"",VLOOKUP(B250,formules!E:L,8,0))</f>
        <v/>
      </c>
      <c r="H250" s="1" t="str">
        <f t="shared" si="18"/>
        <v/>
      </c>
      <c r="I250" s="1"/>
      <c r="J250" s="1" t="str">
        <f t="shared" si="19"/>
        <v/>
      </c>
    </row>
    <row r="251" spans="1:10" x14ac:dyDescent="0.2">
      <c r="A251" s="1" t="str">
        <f t="shared" si="15"/>
        <v/>
      </c>
      <c r="B251" s="1"/>
      <c r="C251" s="15" t="str">
        <f t="shared" ca="1" si="16"/>
        <v/>
      </c>
      <c r="D251" s="1" t="str">
        <f>IF(ISBLANK(B251),"",VLOOKUP(B251,formules!E:F,2,0))</f>
        <v/>
      </c>
      <c r="E251" s="1" t="str">
        <f t="shared" si="17"/>
        <v/>
      </c>
      <c r="F251" s="17" t="str">
        <f>IF(ISBLANK(B251),"",VLOOKUP(B251,formules!E:K,7,0))</f>
        <v/>
      </c>
      <c r="G251" s="17" t="str">
        <f>IF(ISBLANK(B251),"",VLOOKUP(B251,formules!E:L,8,0))</f>
        <v/>
      </c>
      <c r="H251" s="1" t="str">
        <f t="shared" si="18"/>
        <v/>
      </c>
      <c r="I251" s="1"/>
      <c r="J251" s="1" t="str">
        <f t="shared" si="19"/>
        <v/>
      </c>
    </row>
    <row r="252" spans="1:10" x14ac:dyDescent="0.2">
      <c r="A252" s="1" t="str">
        <f t="shared" si="15"/>
        <v/>
      </c>
      <c r="B252" s="1"/>
      <c r="C252" s="15" t="str">
        <f t="shared" ca="1" si="16"/>
        <v/>
      </c>
      <c r="D252" s="1" t="str">
        <f>IF(ISBLANK(B252),"",VLOOKUP(B252,formules!E:F,2,0))</f>
        <v/>
      </c>
      <c r="E252" s="1" t="str">
        <f t="shared" si="17"/>
        <v/>
      </c>
      <c r="F252" s="17" t="str">
        <f>IF(ISBLANK(B252),"",VLOOKUP(B252,formules!E:K,7,0))</f>
        <v/>
      </c>
      <c r="G252" s="17" t="str">
        <f>IF(ISBLANK(B252),"",VLOOKUP(B252,formules!E:L,8,0))</f>
        <v/>
      </c>
      <c r="H252" s="1" t="str">
        <f t="shared" si="18"/>
        <v/>
      </c>
      <c r="I252" s="1"/>
      <c r="J252" s="1" t="str">
        <f t="shared" si="19"/>
        <v/>
      </c>
    </row>
    <row r="253" spans="1:10" x14ac:dyDescent="0.2">
      <c r="A253" s="1" t="str">
        <f t="shared" si="15"/>
        <v/>
      </c>
      <c r="B253" s="1"/>
      <c r="C253" s="15" t="str">
        <f t="shared" ca="1" si="16"/>
        <v/>
      </c>
      <c r="D253" s="1" t="str">
        <f>IF(ISBLANK(B253),"",VLOOKUP(B253,formules!E:F,2,0))</f>
        <v/>
      </c>
      <c r="E253" s="1" t="str">
        <f t="shared" si="17"/>
        <v/>
      </c>
      <c r="F253" s="17" t="str">
        <f>IF(ISBLANK(B253),"",VLOOKUP(B253,formules!E:K,7,0))</f>
        <v/>
      </c>
      <c r="G253" s="17" t="str">
        <f>IF(ISBLANK(B253),"",VLOOKUP(B253,formules!E:L,8,0))</f>
        <v/>
      </c>
      <c r="H253" s="1" t="str">
        <f t="shared" si="18"/>
        <v/>
      </c>
      <c r="I253" s="1"/>
      <c r="J253" s="1" t="str">
        <f t="shared" si="19"/>
        <v/>
      </c>
    </row>
    <row r="254" spans="1:10" x14ac:dyDescent="0.2">
      <c r="A254" s="1" t="str">
        <f t="shared" si="15"/>
        <v/>
      </c>
      <c r="B254" s="1"/>
      <c r="C254" s="15" t="str">
        <f t="shared" ca="1" si="16"/>
        <v/>
      </c>
      <c r="D254" s="1" t="str">
        <f>IF(ISBLANK(B254),"",VLOOKUP(B254,formules!E:F,2,0))</f>
        <v/>
      </c>
      <c r="E254" s="1" t="str">
        <f t="shared" si="17"/>
        <v/>
      </c>
      <c r="F254" s="17" t="str">
        <f>IF(ISBLANK(B254),"",VLOOKUP(B254,formules!E:K,7,0))</f>
        <v/>
      </c>
      <c r="G254" s="17" t="str">
        <f>IF(ISBLANK(B254),"",VLOOKUP(B254,formules!E:L,8,0))</f>
        <v/>
      </c>
      <c r="H254" s="1" t="str">
        <f t="shared" si="18"/>
        <v/>
      </c>
      <c r="I254" s="1"/>
      <c r="J254" s="1" t="str">
        <f t="shared" si="19"/>
        <v/>
      </c>
    </row>
    <row r="255" spans="1:10" x14ac:dyDescent="0.2">
      <c r="A255" s="1" t="str">
        <f t="shared" si="15"/>
        <v/>
      </c>
      <c r="B255" s="1"/>
      <c r="C255" s="15" t="str">
        <f t="shared" ca="1" si="16"/>
        <v/>
      </c>
      <c r="D255" s="1" t="str">
        <f>IF(ISBLANK(B255),"",VLOOKUP(B255,formules!E:F,2,0))</f>
        <v/>
      </c>
      <c r="E255" s="1" t="str">
        <f t="shared" si="17"/>
        <v/>
      </c>
      <c r="F255" s="17" t="str">
        <f>IF(ISBLANK(B255),"",VLOOKUP(B255,formules!E:K,7,0))</f>
        <v/>
      </c>
      <c r="G255" s="17" t="str">
        <f>IF(ISBLANK(B255),"",VLOOKUP(B255,formules!E:L,8,0))</f>
        <v/>
      </c>
      <c r="H255" s="1" t="str">
        <f t="shared" si="18"/>
        <v/>
      </c>
      <c r="I255" s="1"/>
      <c r="J255" s="1" t="str">
        <f t="shared" si="19"/>
        <v/>
      </c>
    </row>
    <row r="256" spans="1:10" x14ac:dyDescent="0.2">
      <c r="A256" s="1" t="str">
        <f t="shared" si="15"/>
        <v/>
      </c>
      <c r="B256" s="1"/>
      <c r="C256" s="15" t="str">
        <f t="shared" ca="1" si="16"/>
        <v/>
      </c>
      <c r="D256" s="1" t="str">
        <f>IF(ISBLANK(B256),"",VLOOKUP(B256,formules!E:F,2,0))</f>
        <v/>
      </c>
      <c r="E256" s="1" t="str">
        <f t="shared" si="17"/>
        <v/>
      </c>
      <c r="F256" s="17" t="str">
        <f>IF(ISBLANK(B256),"",VLOOKUP(B256,formules!E:K,7,0))</f>
        <v/>
      </c>
      <c r="G256" s="17" t="str">
        <f>IF(ISBLANK(B256),"",VLOOKUP(B256,formules!E:L,8,0))</f>
        <v/>
      </c>
      <c r="H256" s="1" t="str">
        <f t="shared" si="18"/>
        <v/>
      </c>
      <c r="I256" s="1"/>
      <c r="J256" s="1" t="str">
        <f t="shared" si="19"/>
        <v/>
      </c>
    </row>
    <row r="257" spans="1:10" x14ac:dyDescent="0.2">
      <c r="A257" s="1" t="str">
        <f t="shared" si="15"/>
        <v/>
      </c>
      <c r="B257" s="1"/>
      <c r="C257" s="15" t="str">
        <f t="shared" ca="1" si="16"/>
        <v/>
      </c>
      <c r="D257" s="1" t="str">
        <f>IF(ISBLANK(B257),"",VLOOKUP(B257,formules!E:F,2,0))</f>
        <v/>
      </c>
      <c r="E257" s="1" t="str">
        <f t="shared" si="17"/>
        <v/>
      </c>
      <c r="F257" s="17" t="str">
        <f>IF(ISBLANK(B257),"",VLOOKUP(B257,formules!E:K,7,0))</f>
        <v/>
      </c>
      <c r="G257" s="17" t="str">
        <f>IF(ISBLANK(B257),"",VLOOKUP(B257,formules!E:L,8,0))</f>
        <v/>
      </c>
      <c r="H257" s="1" t="str">
        <f t="shared" si="18"/>
        <v/>
      </c>
      <c r="I257" s="1"/>
      <c r="J257" s="1" t="str">
        <f t="shared" si="19"/>
        <v/>
      </c>
    </row>
    <row r="258" spans="1:10" x14ac:dyDescent="0.2">
      <c r="A258" s="1" t="str">
        <f t="shared" si="15"/>
        <v/>
      </c>
      <c r="B258" s="1"/>
      <c r="C258" s="15" t="str">
        <f t="shared" ca="1" si="16"/>
        <v/>
      </c>
      <c r="D258" s="1" t="str">
        <f>IF(ISBLANK(B258),"",VLOOKUP(B258,formules!E:F,2,0))</f>
        <v/>
      </c>
      <c r="E258" s="1" t="str">
        <f t="shared" si="17"/>
        <v/>
      </c>
      <c r="F258" s="17" t="str">
        <f>IF(ISBLANK(B258),"",VLOOKUP(B258,formules!E:K,7,0))</f>
        <v/>
      </c>
      <c r="G258" s="17" t="str">
        <f>IF(ISBLANK(B258),"",VLOOKUP(B258,formules!E:L,8,0))</f>
        <v/>
      </c>
      <c r="H258" s="1" t="str">
        <f t="shared" si="18"/>
        <v/>
      </c>
      <c r="I258" s="1"/>
      <c r="J258" s="1" t="str">
        <f t="shared" si="19"/>
        <v/>
      </c>
    </row>
    <row r="259" spans="1:10" x14ac:dyDescent="0.2">
      <c r="A259" s="1" t="str">
        <f t="shared" ref="A259:A322" si="20">IF(ISBLANK(B259),"","variation")</f>
        <v/>
      </c>
      <c r="B259" s="1"/>
      <c r="C259" s="15" t="str">
        <f t="shared" ref="C259:C322" ca="1" si="21">IF(ISBLANK(B259),"",RANDBETWEEN(1111111111111,9999999999999))</f>
        <v/>
      </c>
      <c r="D259" s="1" t="str">
        <f>IF(ISBLANK(B259),"",VLOOKUP(B259,formules!E:F,2,0))</f>
        <v/>
      </c>
      <c r="E259" s="1" t="str">
        <f t="shared" ref="E259:E322" si="22">IF(ISBLANK(B259),"",1)</f>
        <v/>
      </c>
      <c r="F259" s="17" t="str">
        <f>IF(ISBLANK(B259),"",VLOOKUP(B259,formules!E:K,7,0))</f>
        <v/>
      </c>
      <c r="G259" s="17" t="str">
        <f>IF(ISBLANK(B259),"",VLOOKUP(B259,formules!E:L,8,0))</f>
        <v/>
      </c>
      <c r="H259" s="1" t="str">
        <f t="shared" ref="H259:H322" si="23">IF(ISBLANK(B259),"","Size")</f>
        <v/>
      </c>
      <c r="I259" s="1"/>
      <c r="J259" s="1" t="str">
        <f t="shared" ref="J259:J322" si="24">IF(ISBLANK(B259),"",1)</f>
        <v/>
      </c>
    </row>
    <row r="260" spans="1:10" x14ac:dyDescent="0.2">
      <c r="A260" s="1" t="str">
        <f t="shared" si="20"/>
        <v/>
      </c>
      <c r="B260" s="1"/>
      <c r="C260" s="15" t="str">
        <f t="shared" ca="1" si="21"/>
        <v/>
      </c>
      <c r="D260" s="1" t="str">
        <f>IF(ISBLANK(B260),"",VLOOKUP(B260,formules!E:F,2,0))</f>
        <v/>
      </c>
      <c r="E260" s="1" t="str">
        <f t="shared" si="22"/>
        <v/>
      </c>
      <c r="F260" s="17" t="str">
        <f>IF(ISBLANK(B260),"",VLOOKUP(B260,formules!E:K,7,0))</f>
        <v/>
      </c>
      <c r="G260" s="17" t="str">
        <f>IF(ISBLANK(B260),"",VLOOKUP(B260,formules!E:L,8,0))</f>
        <v/>
      </c>
      <c r="H260" s="1" t="str">
        <f t="shared" si="23"/>
        <v/>
      </c>
      <c r="I260" s="1"/>
      <c r="J260" s="1" t="str">
        <f t="shared" si="24"/>
        <v/>
      </c>
    </row>
    <row r="261" spans="1:10" x14ac:dyDescent="0.2">
      <c r="A261" s="1" t="str">
        <f t="shared" si="20"/>
        <v/>
      </c>
      <c r="B261" s="1"/>
      <c r="C261" s="15" t="str">
        <f t="shared" ca="1" si="21"/>
        <v/>
      </c>
      <c r="D261" s="1" t="str">
        <f>IF(ISBLANK(B261),"",VLOOKUP(B261,formules!E:F,2,0))</f>
        <v/>
      </c>
      <c r="E261" s="1" t="str">
        <f t="shared" si="22"/>
        <v/>
      </c>
      <c r="F261" s="17" t="str">
        <f>IF(ISBLANK(B261),"",VLOOKUP(B261,formules!E:K,7,0))</f>
        <v/>
      </c>
      <c r="G261" s="17" t="str">
        <f>IF(ISBLANK(B261),"",VLOOKUP(B261,formules!E:L,8,0))</f>
        <v/>
      </c>
      <c r="H261" s="1" t="str">
        <f t="shared" si="23"/>
        <v/>
      </c>
      <c r="I261" s="1"/>
      <c r="J261" s="1" t="str">
        <f t="shared" si="24"/>
        <v/>
      </c>
    </row>
    <row r="262" spans="1:10" x14ac:dyDescent="0.2">
      <c r="A262" s="1" t="str">
        <f t="shared" si="20"/>
        <v/>
      </c>
      <c r="B262" s="1"/>
      <c r="C262" s="15" t="str">
        <f t="shared" ca="1" si="21"/>
        <v/>
      </c>
      <c r="D262" s="1" t="str">
        <f>IF(ISBLANK(B262),"",VLOOKUP(B262,formules!E:F,2,0))</f>
        <v/>
      </c>
      <c r="E262" s="1" t="str">
        <f t="shared" si="22"/>
        <v/>
      </c>
      <c r="F262" s="17" t="str">
        <f>IF(ISBLANK(B262),"",VLOOKUP(B262,formules!E:K,7,0))</f>
        <v/>
      </c>
      <c r="G262" s="17" t="str">
        <f>IF(ISBLANK(B262),"",VLOOKUP(B262,formules!E:L,8,0))</f>
        <v/>
      </c>
      <c r="H262" s="1" t="str">
        <f t="shared" si="23"/>
        <v/>
      </c>
      <c r="I262" s="1"/>
      <c r="J262" s="1" t="str">
        <f t="shared" si="24"/>
        <v/>
      </c>
    </row>
    <row r="263" spans="1:10" x14ac:dyDescent="0.2">
      <c r="A263" s="1" t="str">
        <f t="shared" si="20"/>
        <v/>
      </c>
      <c r="B263" s="1"/>
      <c r="C263" s="15" t="str">
        <f t="shared" ca="1" si="21"/>
        <v/>
      </c>
      <c r="D263" s="1" t="str">
        <f>IF(ISBLANK(B263),"",VLOOKUP(B263,formules!E:F,2,0))</f>
        <v/>
      </c>
      <c r="E263" s="1" t="str">
        <f t="shared" si="22"/>
        <v/>
      </c>
      <c r="F263" s="17" t="str">
        <f>IF(ISBLANK(B263),"",VLOOKUP(B263,formules!E:K,7,0))</f>
        <v/>
      </c>
      <c r="G263" s="17" t="str">
        <f>IF(ISBLANK(B263),"",VLOOKUP(B263,formules!E:L,8,0))</f>
        <v/>
      </c>
      <c r="H263" s="1" t="str">
        <f t="shared" si="23"/>
        <v/>
      </c>
      <c r="I263" s="1"/>
      <c r="J263" s="1" t="str">
        <f t="shared" si="24"/>
        <v/>
      </c>
    </row>
    <row r="264" spans="1:10" x14ac:dyDescent="0.2">
      <c r="A264" s="1" t="str">
        <f t="shared" si="20"/>
        <v/>
      </c>
      <c r="B264" s="1"/>
      <c r="C264" s="15" t="str">
        <f t="shared" ca="1" si="21"/>
        <v/>
      </c>
      <c r="D264" s="1" t="str">
        <f>IF(ISBLANK(B264),"",VLOOKUP(B264,formules!E:F,2,0))</f>
        <v/>
      </c>
      <c r="E264" s="1" t="str">
        <f t="shared" si="22"/>
        <v/>
      </c>
      <c r="F264" s="17" t="str">
        <f>IF(ISBLANK(B264),"",VLOOKUP(B264,formules!E:K,7,0))</f>
        <v/>
      </c>
      <c r="G264" s="17" t="str">
        <f>IF(ISBLANK(B264),"",VLOOKUP(B264,formules!E:L,8,0))</f>
        <v/>
      </c>
      <c r="H264" s="1" t="str">
        <f t="shared" si="23"/>
        <v/>
      </c>
      <c r="I264" s="1"/>
      <c r="J264" s="1" t="str">
        <f t="shared" si="24"/>
        <v/>
      </c>
    </row>
    <row r="265" spans="1:10" x14ac:dyDescent="0.2">
      <c r="A265" s="1" t="str">
        <f t="shared" si="20"/>
        <v/>
      </c>
      <c r="B265" s="1"/>
      <c r="C265" s="15" t="str">
        <f t="shared" ca="1" si="21"/>
        <v/>
      </c>
      <c r="D265" s="1" t="str">
        <f>IF(ISBLANK(B265),"",VLOOKUP(B265,formules!E:F,2,0))</f>
        <v/>
      </c>
      <c r="E265" s="1" t="str">
        <f t="shared" si="22"/>
        <v/>
      </c>
      <c r="F265" s="17" t="str">
        <f>IF(ISBLANK(B265),"",VLOOKUP(B265,formules!E:K,7,0))</f>
        <v/>
      </c>
      <c r="G265" s="17" t="str">
        <f>IF(ISBLANK(B265),"",VLOOKUP(B265,formules!E:L,8,0))</f>
        <v/>
      </c>
      <c r="H265" s="1" t="str">
        <f t="shared" si="23"/>
        <v/>
      </c>
      <c r="I265" s="1"/>
      <c r="J265" s="1" t="str">
        <f t="shared" si="24"/>
        <v/>
      </c>
    </row>
    <row r="266" spans="1:10" x14ac:dyDescent="0.2">
      <c r="A266" s="1" t="str">
        <f t="shared" si="20"/>
        <v/>
      </c>
      <c r="B266" s="1"/>
      <c r="C266" s="15" t="str">
        <f t="shared" ca="1" si="21"/>
        <v/>
      </c>
      <c r="D266" s="1" t="str">
        <f>IF(ISBLANK(B266),"",VLOOKUP(B266,formules!E:F,2,0))</f>
        <v/>
      </c>
      <c r="E266" s="1" t="str">
        <f t="shared" si="22"/>
        <v/>
      </c>
      <c r="F266" s="17" t="str">
        <f>IF(ISBLANK(B266),"",VLOOKUP(B266,formules!E:K,7,0))</f>
        <v/>
      </c>
      <c r="G266" s="17" t="str">
        <f>IF(ISBLANK(B266),"",VLOOKUP(B266,formules!E:L,8,0))</f>
        <v/>
      </c>
      <c r="H266" s="1" t="str">
        <f t="shared" si="23"/>
        <v/>
      </c>
      <c r="I266" s="1"/>
      <c r="J266" s="1" t="str">
        <f t="shared" si="24"/>
        <v/>
      </c>
    </row>
    <row r="267" spans="1:10" x14ac:dyDescent="0.2">
      <c r="A267" s="1" t="str">
        <f t="shared" si="20"/>
        <v/>
      </c>
      <c r="B267" s="1"/>
      <c r="C267" s="15" t="str">
        <f t="shared" ca="1" si="21"/>
        <v/>
      </c>
      <c r="D267" s="1" t="str">
        <f>IF(ISBLANK(B267),"",VLOOKUP(B267,formules!E:F,2,0))</f>
        <v/>
      </c>
      <c r="E267" s="1" t="str">
        <f t="shared" si="22"/>
        <v/>
      </c>
      <c r="F267" s="17" t="str">
        <f>IF(ISBLANK(B267),"",VLOOKUP(B267,formules!E:K,7,0))</f>
        <v/>
      </c>
      <c r="G267" s="17" t="str">
        <f>IF(ISBLANK(B267),"",VLOOKUP(B267,formules!E:L,8,0))</f>
        <v/>
      </c>
      <c r="H267" s="1" t="str">
        <f t="shared" si="23"/>
        <v/>
      </c>
      <c r="I267" s="1"/>
      <c r="J267" s="1" t="str">
        <f t="shared" si="24"/>
        <v/>
      </c>
    </row>
    <row r="268" spans="1:10" x14ac:dyDescent="0.2">
      <c r="A268" s="1" t="str">
        <f t="shared" si="20"/>
        <v/>
      </c>
      <c r="B268" s="1"/>
      <c r="C268" s="15" t="str">
        <f t="shared" ca="1" si="21"/>
        <v/>
      </c>
      <c r="D268" s="1" t="str">
        <f>IF(ISBLANK(B268),"",VLOOKUP(B268,formules!E:F,2,0))</f>
        <v/>
      </c>
      <c r="E268" s="1" t="str">
        <f t="shared" si="22"/>
        <v/>
      </c>
      <c r="F268" s="17" t="str">
        <f>IF(ISBLANK(B268),"",VLOOKUP(B268,formules!E:K,7,0))</f>
        <v/>
      </c>
      <c r="G268" s="17" t="str">
        <f>IF(ISBLANK(B268),"",VLOOKUP(B268,formules!E:L,8,0))</f>
        <v/>
      </c>
      <c r="H268" s="1" t="str">
        <f t="shared" si="23"/>
        <v/>
      </c>
      <c r="I268" s="1"/>
      <c r="J268" s="1" t="str">
        <f t="shared" si="24"/>
        <v/>
      </c>
    </row>
    <row r="269" spans="1:10" x14ac:dyDescent="0.2">
      <c r="A269" s="1" t="str">
        <f t="shared" si="20"/>
        <v/>
      </c>
      <c r="B269" s="1"/>
      <c r="C269" s="15" t="str">
        <f t="shared" ca="1" si="21"/>
        <v/>
      </c>
      <c r="D269" s="1" t="str">
        <f>IF(ISBLANK(B269),"",VLOOKUP(B269,formules!E:F,2,0))</f>
        <v/>
      </c>
      <c r="E269" s="1" t="str">
        <f t="shared" si="22"/>
        <v/>
      </c>
      <c r="F269" s="17" t="str">
        <f>IF(ISBLANK(B269),"",VLOOKUP(B269,formules!E:K,7,0))</f>
        <v/>
      </c>
      <c r="G269" s="17" t="str">
        <f>IF(ISBLANK(B269),"",VLOOKUP(B269,formules!E:L,8,0))</f>
        <v/>
      </c>
      <c r="H269" s="1" t="str">
        <f t="shared" si="23"/>
        <v/>
      </c>
      <c r="I269" s="1"/>
      <c r="J269" s="1" t="str">
        <f t="shared" si="24"/>
        <v/>
      </c>
    </row>
    <row r="270" spans="1:10" x14ac:dyDescent="0.2">
      <c r="A270" s="1" t="str">
        <f t="shared" si="20"/>
        <v/>
      </c>
      <c r="B270" s="1"/>
      <c r="C270" s="15" t="str">
        <f t="shared" ca="1" si="21"/>
        <v/>
      </c>
      <c r="D270" s="1" t="str">
        <f>IF(ISBLANK(B270),"",VLOOKUP(B270,formules!E:F,2,0))</f>
        <v/>
      </c>
      <c r="E270" s="1" t="str">
        <f t="shared" si="22"/>
        <v/>
      </c>
      <c r="F270" s="17" t="str">
        <f>IF(ISBLANK(B270),"",VLOOKUP(B270,formules!E:K,7,0))</f>
        <v/>
      </c>
      <c r="G270" s="17" t="str">
        <f>IF(ISBLANK(B270),"",VLOOKUP(B270,formules!E:L,8,0))</f>
        <v/>
      </c>
      <c r="H270" s="1" t="str">
        <f t="shared" si="23"/>
        <v/>
      </c>
      <c r="I270" s="1"/>
      <c r="J270" s="1" t="str">
        <f t="shared" si="24"/>
        <v/>
      </c>
    </row>
    <row r="271" spans="1:10" x14ac:dyDescent="0.2">
      <c r="A271" s="1" t="str">
        <f t="shared" si="20"/>
        <v/>
      </c>
      <c r="B271" s="1"/>
      <c r="C271" s="15" t="str">
        <f t="shared" ca="1" si="21"/>
        <v/>
      </c>
      <c r="D271" s="1" t="str">
        <f>IF(ISBLANK(B271),"",VLOOKUP(B271,formules!E:F,2,0))</f>
        <v/>
      </c>
      <c r="E271" s="1" t="str">
        <f t="shared" si="22"/>
        <v/>
      </c>
      <c r="F271" s="17" t="str">
        <f>IF(ISBLANK(B271),"",VLOOKUP(B271,formules!E:K,7,0))</f>
        <v/>
      </c>
      <c r="G271" s="17" t="str">
        <f>IF(ISBLANK(B271),"",VLOOKUP(B271,formules!E:L,8,0))</f>
        <v/>
      </c>
      <c r="H271" s="1" t="str">
        <f t="shared" si="23"/>
        <v/>
      </c>
      <c r="I271" s="1"/>
      <c r="J271" s="1" t="str">
        <f t="shared" si="24"/>
        <v/>
      </c>
    </row>
    <row r="272" spans="1:10" x14ac:dyDescent="0.2">
      <c r="A272" s="1" t="str">
        <f t="shared" si="20"/>
        <v/>
      </c>
      <c r="B272" s="1"/>
      <c r="C272" s="15" t="str">
        <f t="shared" ca="1" si="21"/>
        <v/>
      </c>
      <c r="D272" s="1" t="str">
        <f>IF(ISBLANK(B272),"",VLOOKUP(B272,formules!E:F,2,0))</f>
        <v/>
      </c>
      <c r="E272" s="1" t="str">
        <f t="shared" si="22"/>
        <v/>
      </c>
      <c r="F272" s="17" t="str">
        <f>IF(ISBLANK(B272),"",VLOOKUP(B272,formules!E:K,7,0))</f>
        <v/>
      </c>
      <c r="G272" s="17" t="str">
        <f>IF(ISBLANK(B272),"",VLOOKUP(B272,formules!E:L,8,0))</f>
        <v/>
      </c>
      <c r="H272" s="1" t="str">
        <f t="shared" si="23"/>
        <v/>
      </c>
      <c r="I272" s="1"/>
      <c r="J272" s="1" t="str">
        <f t="shared" si="24"/>
        <v/>
      </c>
    </row>
    <row r="273" spans="1:10" x14ac:dyDescent="0.2">
      <c r="A273" s="1" t="str">
        <f t="shared" si="20"/>
        <v/>
      </c>
      <c r="B273" s="1"/>
      <c r="C273" s="15" t="str">
        <f t="shared" ca="1" si="21"/>
        <v/>
      </c>
      <c r="D273" s="1" t="str">
        <f>IF(ISBLANK(B273),"",VLOOKUP(B273,formules!E:F,2,0))</f>
        <v/>
      </c>
      <c r="E273" s="1" t="str">
        <f t="shared" si="22"/>
        <v/>
      </c>
      <c r="F273" s="17" t="str">
        <f>IF(ISBLANK(B273),"",VLOOKUP(B273,formules!E:K,7,0))</f>
        <v/>
      </c>
      <c r="G273" s="17" t="str">
        <f>IF(ISBLANK(B273),"",VLOOKUP(B273,formules!E:L,8,0))</f>
        <v/>
      </c>
      <c r="H273" s="1" t="str">
        <f t="shared" si="23"/>
        <v/>
      </c>
      <c r="I273" s="1"/>
      <c r="J273" s="1" t="str">
        <f t="shared" si="24"/>
        <v/>
      </c>
    </row>
    <row r="274" spans="1:10" x14ac:dyDescent="0.2">
      <c r="A274" s="1" t="str">
        <f t="shared" si="20"/>
        <v/>
      </c>
      <c r="B274" s="1"/>
      <c r="C274" s="15" t="str">
        <f t="shared" ca="1" si="21"/>
        <v/>
      </c>
      <c r="D274" s="1" t="str">
        <f>IF(ISBLANK(B274),"",VLOOKUP(B274,formules!E:F,2,0))</f>
        <v/>
      </c>
      <c r="E274" s="1" t="str">
        <f t="shared" si="22"/>
        <v/>
      </c>
      <c r="F274" s="17" t="str">
        <f>IF(ISBLANK(B274),"",VLOOKUP(B274,formules!E:K,7,0))</f>
        <v/>
      </c>
      <c r="G274" s="17" t="str">
        <f>IF(ISBLANK(B274),"",VLOOKUP(B274,formules!E:L,8,0))</f>
        <v/>
      </c>
      <c r="H274" s="1" t="str">
        <f t="shared" si="23"/>
        <v/>
      </c>
      <c r="I274" s="1"/>
      <c r="J274" s="1" t="str">
        <f t="shared" si="24"/>
        <v/>
      </c>
    </row>
    <row r="275" spans="1:10" x14ac:dyDescent="0.2">
      <c r="A275" s="1" t="str">
        <f t="shared" si="20"/>
        <v/>
      </c>
      <c r="B275" s="1"/>
      <c r="C275" s="15" t="str">
        <f t="shared" ca="1" si="21"/>
        <v/>
      </c>
      <c r="D275" s="1" t="str">
        <f>IF(ISBLANK(B275),"",VLOOKUP(B275,formules!E:F,2,0))</f>
        <v/>
      </c>
      <c r="E275" s="1" t="str">
        <f t="shared" si="22"/>
        <v/>
      </c>
      <c r="F275" s="17" t="str">
        <f>IF(ISBLANK(B275),"",VLOOKUP(B275,formules!E:K,7,0))</f>
        <v/>
      </c>
      <c r="G275" s="17" t="str">
        <f>IF(ISBLANK(B275),"",VLOOKUP(B275,formules!E:L,8,0))</f>
        <v/>
      </c>
      <c r="H275" s="1" t="str">
        <f t="shared" si="23"/>
        <v/>
      </c>
      <c r="I275" s="1"/>
      <c r="J275" s="1" t="str">
        <f t="shared" si="24"/>
        <v/>
      </c>
    </row>
    <row r="276" spans="1:10" x14ac:dyDescent="0.2">
      <c r="A276" s="1" t="str">
        <f t="shared" si="20"/>
        <v/>
      </c>
      <c r="B276" s="1"/>
      <c r="C276" s="15" t="str">
        <f t="shared" ca="1" si="21"/>
        <v/>
      </c>
      <c r="D276" s="1" t="str">
        <f>IF(ISBLANK(B276),"",VLOOKUP(B276,formules!E:F,2,0))</f>
        <v/>
      </c>
      <c r="E276" s="1" t="str">
        <f t="shared" si="22"/>
        <v/>
      </c>
      <c r="F276" s="17" t="str">
        <f>IF(ISBLANK(B276),"",VLOOKUP(B276,formules!E:K,7,0))</f>
        <v/>
      </c>
      <c r="G276" s="17" t="str">
        <f>IF(ISBLANK(B276),"",VLOOKUP(B276,formules!E:L,8,0))</f>
        <v/>
      </c>
      <c r="H276" s="1" t="str">
        <f t="shared" si="23"/>
        <v/>
      </c>
      <c r="I276" s="1"/>
      <c r="J276" s="1" t="str">
        <f t="shared" si="24"/>
        <v/>
      </c>
    </row>
    <row r="277" spans="1:10" x14ac:dyDescent="0.2">
      <c r="A277" s="1" t="str">
        <f t="shared" si="20"/>
        <v/>
      </c>
      <c r="B277" s="1"/>
      <c r="C277" s="15" t="str">
        <f t="shared" ca="1" si="21"/>
        <v/>
      </c>
      <c r="D277" s="1" t="str">
        <f>IF(ISBLANK(B277),"",VLOOKUP(B277,formules!E:F,2,0))</f>
        <v/>
      </c>
      <c r="E277" s="1" t="str">
        <f t="shared" si="22"/>
        <v/>
      </c>
      <c r="F277" s="17" t="str">
        <f>IF(ISBLANK(B277),"",VLOOKUP(B277,formules!E:K,7,0))</f>
        <v/>
      </c>
      <c r="G277" s="17" t="str">
        <f>IF(ISBLANK(B277),"",VLOOKUP(B277,formules!E:L,8,0))</f>
        <v/>
      </c>
      <c r="H277" s="1" t="str">
        <f t="shared" si="23"/>
        <v/>
      </c>
      <c r="I277" s="1"/>
      <c r="J277" s="1" t="str">
        <f t="shared" si="24"/>
        <v/>
      </c>
    </row>
    <row r="278" spans="1:10" x14ac:dyDescent="0.2">
      <c r="A278" s="1" t="str">
        <f t="shared" si="20"/>
        <v/>
      </c>
      <c r="B278" s="1"/>
      <c r="C278" s="15" t="str">
        <f t="shared" ca="1" si="21"/>
        <v/>
      </c>
      <c r="D278" s="1" t="str">
        <f>IF(ISBLANK(B278),"",VLOOKUP(B278,formules!E:F,2,0))</f>
        <v/>
      </c>
      <c r="E278" s="1" t="str">
        <f t="shared" si="22"/>
        <v/>
      </c>
      <c r="F278" s="17" t="str">
        <f>IF(ISBLANK(B278),"",VLOOKUP(B278,formules!E:K,7,0))</f>
        <v/>
      </c>
      <c r="G278" s="17" t="str">
        <f>IF(ISBLANK(B278),"",VLOOKUP(B278,formules!E:L,8,0))</f>
        <v/>
      </c>
      <c r="H278" s="1" t="str">
        <f t="shared" si="23"/>
        <v/>
      </c>
      <c r="I278" s="1"/>
      <c r="J278" s="1" t="str">
        <f t="shared" si="24"/>
        <v/>
      </c>
    </row>
    <row r="279" spans="1:10" x14ac:dyDescent="0.2">
      <c r="A279" s="1" t="str">
        <f t="shared" si="20"/>
        <v/>
      </c>
      <c r="B279" s="1"/>
      <c r="C279" s="15" t="str">
        <f t="shared" ca="1" si="21"/>
        <v/>
      </c>
      <c r="D279" s="1" t="str">
        <f>IF(ISBLANK(B279),"",VLOOKUP(B279,formules!E:F,2,0))</f>
        <v/>
      </c>
      <c r="E279" s="1" t="str">
        <f t="shared" si="22"/>
        <v/>
      </c>
      <c r="F279" s="17" t="str">
        <f>IF(ISBLANK(B279),"",VLOOKUP(B279,formules!E:K,7,0))</f>
        <v/>
      </c>
      <c r="G279" s="17" t="str">
        <f>IF(ISBLANK(B279),"",VLOOKUP(B279,formules!E:L,8,0))</f>
        <v/>
      </c>
      <c r="H279" s="1" t="str">
        <f t="shared" si="23"/>
        <v/>
      </c>
      <c r="I279" s="1"/>
      <c r="J279" s="1" t="str">
        <f t="shared" si="24"/>
        <v/>
      </c>
    </row>
    <row r="280" spans="1:10" x14ac:dyDescent="0.2">
      <c r="A280" s="1" t="str">
        <f t="shared" si="20"/>
        <v/>
      </c>
      <c r="B280" s="1"/>
      <c r="C280" s="15" t="str">
        <f t="shared" ca="1" si="21"/>
        <v/>
      </c>
      <c r="D280" s="1" t="str">
        <f>IF(ISBLANK(B280),"",VLOOKUP(B280,formules!E:F,2,0))</f>
        <v/>
      </c>
      <c r="E280" s="1" t="str">
        <f t="shared" si="22"/>
        <v/>
      </c>
      <c r="F280" s="17" t="str">
        <f>IF(ISBLANK(B280),"",VLOOKUP(B280,formules!E:K,7,0))</f>
        <v/>
      </c>
      <c r="G280" s="17" t="str">
        <f>IF(ISBLANK(B280),"",VLOOKUP(B280,formules!E:L,8,0))</f>
        <v/>
      </c>
      <c r="H280" s="1" t="str">
        <f t="shared" si="23"/>
        <v/>
      </c>
      <c r="I280" s="1"/>
      <c r="J280" s="1" t="str">
        <f t="shared" si="24"/>
        <v/>
      </c>
    </row>
    <row r="281" spans="1:10" x14ac:dyDescent="0.2">
      <c r="A281" s="1" t="str">
        <f t="shared" si="20"/>
        <v/>
      </c>
      <c r="B281" s="1"/>
      <c r="C281" s="15" t="str">
        <f t="shared" ca="1" si="21"/>
        <v/>
      </c>
      <c r="D281" s="1" t="str">
        <f>IF(ISBLANK(B281),"",VLOOKUP(B281,formules!E:F,2,0))</f>
        <v/>
      </c>
      <c r="E281" s="1" t="str">
        <f t="shared" si="22"/>
        <v/>
      </c>
      <c r="F281" s="17" t="str">
        <f>IF(ISBLANK(B281),"",VLOOKUP(B281,formules!E:K,7,0))</f>
        <v/>
      </c>
      <c r="G281" s="17" t="str">
        <f>IF(ISBLANK(B281),"",VLOOKUP(B281,formules!E:L,8,0))</f>
        <v/>
      </c>
      <c r="H281" s="1" t="str">
        <f t="shared" si="23"/>
        <v/>
      </c>
      <c r="I281" s="1"/>
      <c r="J281" s="1" t="str">
        <f t="shared" si="24"/>
        <v/>
      </c>
    </row>
    <row r="282" spans="1:10" x14ac:dyDescent="0.2">
      <c r="A282" s="1" t="str">
        <f t="shared" si="20"/>
        <v/>
      </c>
      <c r="B282" s="1"/>
      <c r="C282" s="15" t="str">
        <f t="shared" ca="1" si="21"/>
        <v/>
      </c>
      <c r="D282" s="1" t="str">
        <f>IF(ISBLANK(B282),"",VLOOKUP(B282,formules!E:F,2,0))</f>
        <v/>
      </c>
      <c r="E282" s="1" t="str">
        <f t="shared" si="22"/>
        <v/>
      </c>
      <c r="F282" s="17" t="str">
        <f>IF(ISBLANK(B282),"",VLOOKUP(B282,formules!E:K,7,0))</f>
        <v/>
      </c>
      <c r="G282" s="17" t="str">
        <f>IF(ISBLANK(B282),"",VLOOKUP(B282,formules!E:L,8,0))</f>
        <v/>
      </c>
      <c r="H282" s="1" t="str">
        <f t="shared" si="23"/>
        <v/>
      </c>
      <c r="I282" s="1"/>
      <c r="J282" s="1" t="str">
        <f t="shared" si="24"/>
        <v/>
      </c>
    </row>
    <row r="283" spans="1:10" x14ac:dyDescent="0.2">
      <c r="A283" s="1" t="str">
        <f t="shared" si="20"/>
        <v/>
      </c>
      <c r="B283" s="1"/>
      <c r="C283" s="15" t="str">
        <f t="shared" ca="1" si="21"/>
        <v/>
      </c>
      <c r="D283" s="1" t="str">
        <f>IF(ISBLANK(B283),"",VLOOKUP(B283,formules!E:F,2,0))</f>
        <v/>
      </c>
      <c r="E283" s="1" t="str">
        <f t="shared" si="22"/>
        <v/>
      </c>
      <c r="F283" s="17" t="str">
        <f>IF(ISBLANK(B283),"",VLOOKUP(B283,formules!E:K,7,0))</f>
        <v/>
      </c>
      <c r="G283" s="17" t="str">
        <f>IF(ISBLANK(B283),"",VLOOKUP(B283,formules!E:L,8,0))</f>
        <v/>
      </c>
      <c r="H283" s="1" t="str">
        <f t="shared" si="23"/>
        <v/>
      </c>
      <c r="I283" s="1"/>
      <c r="J283" s="1" t="str">
        <f t="shared" si="24"/>
        <v/>
      </c>
    </row>
    <row r="284" spans="1:10" x14ac:dyDescent="0.2">
      <c r="A284" s="1" t="str">
        <f t="shared" si="20"/>
        <v/>
      </c>
      <c r="B284" s="1"/>
      <c r="C284" s="15" t="str">
        <f t="shared" ca="1" si="21"/>
        <v/>
      </c>
      <c r="D284" s="1" t="str">
        <f>IF(ISBLANK(B284),"",VLOOKUP(B284,formules!E:F,2,0))</f>
        <v/>
      </c>
      <c r="E284" s="1" t="str">
        <f t="shared" si="22"/>
        <v/>
      </c>
      <c r="F284" s="17" t="str">
        <f>IF(ISBLANK(B284),"",VLOOKUP(B284,formules!E:K,7,0))</f>
        <v/>
      </c>
      <c r="G284" s="17" t="str">
        <f>IF(ISBLANK(B284),"",VLOOKUP(B284,formules!E:L,8,0))</f>
        <v/>
      </c>
      <c r="H284" s="1" t="str">
        <f t="shared" si="23"/>
        <v/>
      </c>
      <c r="I284" s="1"/>
      <c r="J284" s="1" t="str">
        <f t="shared" si="24"/>
        <v/>
      </c>
    </row>
    <row r="285" spans="1:10" x14ac:dyDescent="0.2">
      <c r="A285" s="1" t="str">
        <f t="shared" si="20"/>
        <v/>
      </c>
      <c r="B285" s="1"/>
      <c r="C285" s="15" t="str">
        <f t="shared" ca="1" si="21"/>
        <v/>
      </c>
      <c r="D285" s="1" t="str">
        <f>IF(ISBLANK(B285),"",VLOOKUP(B285,formules!E:F,2,0))</f>
        <v/>
      </c>
      <c r="E285" s="1" t="str">
        <f t="shared" si="22"/>
        <v/>
      </c>
      <c r="F285" s="17" t="str">
        <f>IF(ISBLANK(B285),"",VLOOKUP(B285,formules!E:K,7,0))</f>
        <v/>
      </c>
      <c r="G285" s="17" t="str">
        <f>IF(ISBLANK(B285),"",VLOOKUP(B285,formules!E:L,8,0))</f>
        <v/>
      </c>
      <c r="H285" s="1" t="str">
        <f t="shared" si="23"/>
        <v/>
      </c>
      <c r="I285" s="1"/>
      <c r="J285" s="1" t="str">
        <f t="shared" si="24"/>
        <v/>
      </c>
    </row>
    <row r="286" spans="1:10" x14ac:dyDescent="0.2">
      <c r="A286" s="1" t="str">
        <f t="shared" si="20"/>
        <v/>
      </c>
      <c r="B286" s="1"/>
      <c r="C286" s="15" t="str">
        <f t="shared" ca="1" si="21"/>
        <v/>
      </c>
      <c r="D286" s="1" t="str">
        <f>IF(ISBLANK(B286),"",VLOOKUP(B286,formules!E:F,2,0))</f>
        <v/>
      </c>
      <c r="E286" s="1" t="str">
        <f t="shared" si="22"/>
        <v/>
      </c>
      <c r="F286" s="17" t="str">
        <f>IF(ISBLANK(B286),"",VLOOKUP(B286,formules!E:K,7,0))</f>
        <v/>
      </c>
      <c r="G286" s="17" t="str">
        <f>IF(ISBLANK(B286),"",VLOOKUP(B286,formules!E:L,8,0))</f>
        <v/>
      </c>
      <c r="H286" s="1" t="str">
        <f t="shared" si="23"/>
        <v/>
      </c>
      <c r="I286" s="1"/>
      <c r="J286" s="1" t="str">
        <f t="shared" si="24"/>
        <v/>
      </c>
    </row>
    <row r="287" spans="1:10" x14ac:dyDescent="0.2">
      <c r="A287" s="1" t="str">
        <f t="shared" si="20"/>
        <v/>
      </c>
      <c r="B287" s="1"/>
      <c r="C287" s="15" t="str">
        <f t="shared" ca="1" si="21"/>
        <v/>
      </c>
      <c r="D287" s="1" t="str">
        <f>IF(ISBLANK(B287),"",VLOOKUP(B287,formules!E:F,2,0))</f>
        <v/>
      </c>
      <c r="E287" s="1" t="str">
        <f t="shared" si="22"/>
        <v/>
      </c>
      <c r="F287" s="17" t="str">
        <f>IF(ISBLANK(B287),"",VLOOKUP(B287,formules!E:K,7,0))</f>
        <v/>
      </c>
      <c r="G287" s="17" t="str">
        <f>IF(ISBLANK(B287),"",VLOOKUP(B287,formules!E:L,8,0))</f>
        <v/>
      </c>
      <c r="H287" s="1" t="str">
        <f t="shared" si="23"/>
        <v/>
      </c>
      <c r="I287" s="1"/>
      <c r="J287" s="1" t="str">
        <f t="shared" si="24"/>
        <v/>
      </c>
    </row>
    <row r="288" spans="1:10" x14ac:dyDescent="0.2">
      <c r="A288" s="1" t="str">
        <f t="shared" si="20"/>
        <v/>
      </c>
      <c r="B288" s="1"/>
      <c r="C288" s="15" t="str">
        <f t="shared" ca="1" si="21"/>
        <v/>
      </c>
      <c r="D288" s="1" t="str">
        <f>IF(ISBLANK(B288),"",VLOOKUP(B288,formules!E:F,2,0))</f>
        <v/>
      </c>
      <c r="E288" s="1" t="str">
        <f t="shared" si="22"/>
        <v/>
      </c>
      <c r="F288" s="17" t="str">
        <f>IF(ISBLANK(B288),"",VLOOKUP(B288,formules!E:K,7,0))</f>
        <v/>
      </c>
      <c r="G288" s="17" t="str">
        <f>IF(ISBLANK(B288),"",VLOOKUP(B288,formules!E:L,8,0))</f>
        <v/>
      </c>
      <c r="H288" s="1" t="str">
        <f t="shared" si="23"/>
        <v/>
      </c>
      <c r="I288" s="1"/>
      <c r="J288" s="1" t="str">
        <f t="shared" si="24"/>
        <v/>
      </c>
    </row>
    <row r="289" spans="1:10" x14ac:dyDescent="0.2">
      <c r="A289" s="1" t="str">
        <f t="shared" si="20"/>
        <v/>
      </c>
      <c r="B289" s="1"/>
      <c r="C289" s="15" t="str">
        <f t="shared" ca="1" si="21"/>
        <v/>
      </c>
      <c r="D289" s="1" t="str">
        <f>IF(ISBLANK(B289),"",VLOOKUP(B289,formules!E:F,2,0))</f>
        <v/>
      </c>
      <c r="E289" s="1" t="str">
        <f t="shared" si="22"/>
        <v/>
      </c>
      <c r="F289" s="17" t="str">
        <f>IF(ISBLANK(B289),"",VLOOKUP(B289,formules!E:K,7,0))</f>
        <v/>
      </c>
      <c r="G289" s="17" t="str">
        <f>IF(ISBLANK(B289),"",VLOOKUP(B289,formules!E:L,8,0))</f>
        <v/>
      </c>
      <c r="H289" s="1" t="str">
        <f t="shared" si="23"/>
        <v/>
      </c>
      <c r="I289" s="1"/>
      <c r="J289" s="1" t="str">
        <f t="shared" si="24"/>
        <v/>
      </c>
    </row>
    <row r="290" spans="1:10" x14ac:dyDescent="0.2">
      <c r="A290" s="1" t="str">
        <f t="shared" si="20"/>
        <v/>
      </c>
      <c r="B290" s="1"/>
      <c r="C290" s="15" t="str">
        <f t="shared" ca="1" si="21"/>
        <v/>
      </c>
      <c r="D290" s="1" t="str">
        <f>IF(ISBLANK(B290),"",VLOOKUP(B290,formules!E:F,2,0))</f>
        <v/>
      </c>
      <c r="E290" s="1" t="str">
        <f t="shared" si="22"/>
        <v/>
      </c>
      <c r="F290" s="17" t="str">
        <f>IF(ISBLANK(B290),"",VLOOKUP(B290,formules!E:K,7,0))</f>
        <v/>
      </c>
      <c r="G290" s="17" t="str">
        <f>IF(ISBLANK(B290),"",VLOOKUP(B290,formules!E:L,8,0))</f>
        <v/>
      </c>
      <c r="H290" s="1" t="str">
        <f t="shared" si="23"/>
        <v/>
      </c>
      <c r="I290" s="1"/>
      <c r="J290" s="1" t="str">
        <f t="shared" si="24"/>
        <v/>
      </c>
    </row>
    <row r="291" spans="1:10" x14ac:dyDescent="0.2">
      <c r="A291" s="1" t="str">
        <f t="shared" si="20"/>
        <v/>
      </c>
      <c r="B291" s="1"/>
      <c r="C291" s="15" t="str">
        <f t="shared" ca="1" si="21"/>
        <v/>
      </c>
      <c r="D291" s="1" t="str">
        <f>IF(ISBLANK(B291),"",VLOOKUP(B291,formules!E:F,2,0))</f>
        <v/>
      </c>
      <c r="E291" s="1" t="str">
        <f t="shared" si="22"/>
        <v/>
      </c>
      <c r="F291" s="17" t="str">
        <f>IF(ISBLANK(B291),"",VLOOKUP(B291,formules!E:K,7,0))</f>
        <v/>
      </c>
      <c r="G291" s="17" t="str">
        <f>IF(ISBLANK(B291),"",VLOOKUP(B291,formules!E:L,8,0))</f>
        <v/>
      </c>
      <c r="H291" s="1" t="str">
        <f t="shared" si="23"/>
        <v/>
      </c>
      <c r="I291" s="1"/>
      <c r="J291" s="1" t="str">
        <f t="shared" si="24"/>
        <v/>
      </c>
    </row>
    <row r="292" spans="1:10" x14ac:dyDescent="0.2">
      <c r="A292" s="1" t="str">
        <f t="shared" si="20"/>
        <v/>
      </c>
      <c r="B292" s="1"/>
      <c r="C292" s="15" t="str">
        <f t="shared" ca="1" si="21"/>
        <v/>
      </c>
      <c r="D292" s="1" t="str">
        <f>IF(ISBLANK(B292),"",VLOOKUP(B292,formules!E:F,2,0))</f>
        <v/>
      </c>
      <c r="E292" s="1" t="str">
        <f t="shared" si="22"/>
        <v/>
      </c>
      <c r="F292" s="17" t="str">
        <f>IF(ISBLANK(B292),"",VLOOKUP(B292,formules!E:K,7,0))</f>
        <v/>
      </c>
      <c r="G292" s="17" t="str">
        <f>IF(ISBLANK(B292),"",VLOOKUP(B292,formules!E:L,8,0))</f>
        <v/>
      </c>
      <c r="H292" s="1" t="str">
        <f t="shared" si="23"/>
        <v/>
      </c>
      <c r="I292" s="1"/>
      <c r="J292" s="1" t="str">
        <f t="shared" si="24"/>
        <v/>
      </c>
    </row>
    <row r="293" spans="1:10" x14ac:dyDescent="0.2">
      <c r="A293" s="1" t="str">
        <f t="shared" si="20"/>
        <v/>
      </c>
      <c r="B293" s="1"/>
      <c r="C293" s="15" t="str">
        <f t="shared" ca="1" si="21"/>
        <v/>
      </c>
      <c r="D293" s="1" t="str">
        <f>IF(ISBLANK(B293),"",VLOOKUP(B293,formules!E:F,2,0))</f>
        <v/>
      </c>
      <c r="E293" s="1" t="str">
        <f t="shared" si="22"/>
        <v/>
      </c>
      <c r="F293" s="17" t="str">
        <f>IF(ISBLANK(B293),"",VLOOKUP(B293,formules!E:K,7,0))</f>
        <v/>
      </c>
      <c r="G293" s="17" t="str">
        <f>IF(ISBLANK(B293),"",VLOOKUP(B293,formules!E:L,8,0))</f>
        <v/>
      </c>
      <c r="H293" s="1" t="str">
        <f t="shared" si="23"/>
        <v/>
      </c>
      <c r="I293" s="1"/>
      <c r="J293" s="1" t="str">
        <f t="shared" si="24"/>
        <v/>
      </c>
    </row>
    <row r="294" spans="1:10" x14ac:dyDescent="0.2">
      <c r="A294" s="1" t="str">
        <f t="shared" si="20"/>
        <v/>
      </c>
      <c r="B294" s="1"/>
      <c r="C294" s="15" t="str">
        <f t="shared" ca="1" si="21"/>
        <v/>
      </c>
      <c r="D294" s="1" t="str">
        <f>IF(ISBLANK(B294),"",VLOOKUP(B294,formules!E:F,2,0))</f>
        <v/>
      </c>
      <c r="E294" s="1" t="str">
        <f t="shared" si="22"/>
        <v/>
      </c>
      <c r="F294" s="17" t="str">
        <f>IF(ISBLANK(B294),"",VLOOKUP(B294,formules!E:K,7,0))</f>
        <v/>
      </c>
      <c r="G294" s="17" t="str">
        <f>IF(ISBLANK(B294),"",VLOOKUP(B294,formules!E:L,8,0))</f>
        <v/>
      </c>
      <c r="H294" s="1" t="str">
        <f t="shared" si="23"/>
        <v/>
      </c>
      <c r="I294" s="1"/>
      <c r="J294" s="1" t="str">
        <f t="shared" si="24"/>
        <v/>
      </c>
    </row>
    <row r="295" spans="1:10" x14ac:dyDescent="0.2">
      <c r="A295" s="1" t="str">
        <f t="shared" si="20"/>
        <v/>
      </c>
      <c r="B295" s="1"/>
      <c r="C295" s="15" t="str">
        <f t="shared" ca="1" si="21"/>
        <v/>
      </c>
      <c r="D295" s="1" t="str">
        <f>IF(ISBLANK(B295),"",VLOOKUP(B295,formules!E:F,2,0))</f>
        <v/>
      </c>
      <c r="E295" s="1" t="str">
        <f t="shared" si="22"/>
        <v/>
      </c>
      <c r="F295" s="17" t="str">
        <f>IF(ISBLANK(B295),"",VLOOKUP(B295,formules!E:K,7,0))</f>
        <v/>
      </c>
      <c r="G295" s="17" t="str">
        <f>IF(ISBLANK(B295),"",VLOOKUP(B295,formules!E:L,8,0))</f>
        <v/>
      </c>
      <c r="H295" s="1" t="str">
        <f t="shared" si="23"/>
        <v/>
      </c>
      <c r="I295" s="1"/>
      <c r="J295" s="1" t="str">
        <f t="shared" si="24"/>
        <v/>
      </c>
    </row>
    <row r="296" spans="1:10" x14ac:dyDescent="0.2">
      <c r="A296" s="1" t="str">
        <f t="shared" si="20"/>
        <v/>
      </c>
      <c r="B296" s="1"/>
      <c r="C296" s="15" t="str">
        <f t="shared" ca="1" si="21"/>
        <v/>
      </c>
      <c r="D296" s="1" t="str">
        <f>IF(ISBLANK(B296),"",VLOOKUP(B296,formules!E:F,2,0))</f>
        <v/>
      </c>
      <c r="E296" s="1" t="str">
        <f t="shared" si="22"/>
        <v/>
      </c>
      <c r="F296" s="17" t="str">
        <f>IF(ISBLANK(B296),"",VLOOKUP(B296,formules!E:K,7,0))</f>
        <v/>
      </c>
      <c r="G296" s="17" t="str">
        <f>IF(ISBLANK(B296),"",VLOOKUP(B296,formules!E:L,8,0))</f>
        <v/>
      </c>
      <c r="H296" s="1" t="str">
        <f t="shared" si="23"/>
        <v/>
      </c>
      <c r="I296" s="1"/>
      <c r="J296" s="1" t="str">
        <f t="shared" si="24"/>
        <v/>
      </c>
    </row>
    <row r="297" spans="1:10" x14ac:dyDescent="0.2">
      <c r="A297" s="1" t="str">
        <f t="shared" si="20"/>
        <v/>
      </c>
      <c r="B297" s="1"/>
      <c r="C297" s="15" t="str">
        <f t="shared" ca="1" si="21"/>
        <v/>
      </c>
      <c r="D297" s="1" t="str">
        <f>IF(ISBLANK(B297),"",VLOOKUP(B297,formules!E:F,2,0))</f>
        <v/>
      </c>
      <c r="E297" s="1" t="str">
        <f t="shared" si="22"/>
        <v/>
      </c>
      <c r="F297" s="17" t="str">
        <f>IF(ISBLANK(B297),"",VLOOKUP(B297,formules!E:K,7,0))</f>
        <v/>
      </c>
      <c r="G297" s="17" t="str">
        <f>IF(ISBLANK(B297),"",VLOOKUP(B297,formules!E:L,8,0))</f>
        <v/>
      </c>
      <c r="H297" s="1" t="str">
        <f t="shared" si="23"/>
        <v/>
      </c>
      <c r="I297" s="1"/>
      <c r="J297" s="1" t="str">
        <f t="shared" si="24"/>
        <v/>
      </c>
    </row>
    <row r="298" spans="1:10" x14ac:dyDescent="0.2">
      <c r="A298" s="1" t="str">
        <f t="shared" si="20"/>
        <v/>
      </c>
      <c r="B298" s="1"/>
      <c r="C298" s="15" t="str">
        <f t="shared" ca="1" si="21"/>
        <v/>
      </c>
      <c r="D298" s="1" t="str">
        <f>IF(ISBLANK(B298),"",VLOOKUP(B298,formules!E:F,2,0))</f>
        <v/>
      </c>
      <c r="E298" s="1" t="str">
        <f t="shared" si="22"/>
        <v/>
      </c>
      <c r="F298" s="17" t="str">
        <f>IF(ISBLANK(B298),"",VLOOKUP(B298,formules!E:K,7,0))</f>
        <v/>
      </c>
      <c r="G298" s="17" t="str">
        <f>IF(ISBLANK(B298),"",VLOOKUP(B298,formules!E:L,8,0))</f>
        <v/>
      </c>
      <c r="H298" s="1" t="str">
        <f t="shared" si="23"/>
        <v/>
      </c>
      <c r="I298" s="1"/>
      <c r="J298" s="1" t="str">
        <f t="shared" si="24"/>
        <v/>
      </c>
    </row>
    <row r="299" spans="1:10" x14ac:dyDescent="0.2">
      <c r="A299" s="1" t="str">
        <f t="shared" si="20"/>
        <v/>
      </c>
      <c r="B299" s="1"/>
      <c r="C299" s="15" t="str">
        <f t="shared" ca="1" si="21"/>
        <v/>
      </c>
      <c r="D299" s="1" t="str">
        <f>IF(ISBLANK(B299),"",VLOOKUP(B299,formules!E:F,2,0))</f>
        <v/>
      </c>
      <c r="E299" s="1" t="str">
        <f t="shared" si="22"/>
        <v/>
      </c>
      <c r="F299" s="17" t="str">
        <f>IF(ISBLANK(B299),"",VLOOKUP(B299,formules!E:K,7,0))</f>
        <v/>
      </c>
      <c r="G299" s="17" t="str">
        <f>IF(ISBLANK(B299),"",VLOOKUP(B299,formules!E:L,8,0))</f>
        <v/>
      </c>
      <c r="H299" s="1" t="str">
        <f t="shared" si="23"/>
        <v/>
      </c>
      <c r="I299" s="1"/>
      <c r="J299" s="1" t="str">
        <f t="shared" si="24"/>
        <v/>
      </c>
    </row>
    <row r="300" spans="1:10" x14ac:dyDescent="0.2">
      <c r="A300" s="1" t="str">
        <f t="shared" si="20"/>
        <v/>
      </c>
      <c r="B300" s="1"/>
      <c r="C300" s="15" t="str">
        <f t="shared" ca="1" si="21"/>
        <v/>
      </c>
      <c r="D300" s="1" t="str">
        <f>IF(ISBLANK(B300),"",VLOOKUP(B300,formules!E:F,2,0))</f>
        <v/>
      </c>
      <c r="E300" s="1" t="str">
        <f t="shared" si="22"/>
        <v/>
      </c>
      <c r="F300" s="17" t="str">
        <f>IF(ISBLANK(B300),"",VLOOKUP(B300,formules!E:K,7,0))</f>
        <v/>
      </c>
      <c r="G300" s="17" t="str">
        <f>IF(ISBLANK(B300),"",VLOOKUP(B300,formules!E:L,8,0))</f>
        <v/>
      </c>
      <c r="H300" s="1" t="str">
        <f t="shared" si="23"/>
        <v/>
      </c>
      <c r="I300" s="1"/>
      <c r="J300" s="1" t="str">
        <f t="shared" si="24"/>
        <v/>
      </c>
    </row>
    <row r="301" spans="1:10" x14ac:dyDescent="0.2">
      <c r="A301" s="1" t="str">
        <f t="shared" si="20"/>
        <v/>
      </c>
      <c r="B301" s="1"/>
      <c r="C301" s="15" t="str">
        <f t="shared" ca="1" si="21"/>
        <v/>
      </c>
      <c r="D301" s="1" t="str">
        <f>IF(ISBLANK(B301),"",VLOOKUP(B301,formules!E:F,2,0))</f>
        <v/>
      </c>
      <c r="E301" s="1" t="str">
        <f t="shared" si="22"/>
        <v/>
      </c>
      <c r="F301" s="17" t="str">
        <f>IF(ISBLANK(B301),"",VLOOKUP(B301,formules!E:K,7,0))</f>
        <v/>
      </c>
      <c r="G301" s="17" t="str">
        <f>IF(ISBLANK(B301),"",VLOOKUP(B301,formules!E:L,8,0))</f>
        <v/>
      </c>
      <c r="H301" s="1" t="str">
        <f t="shared" si="23"/>
        <v/>
      </c>
      <c r="I301" s="1"/>
      <c r="J301" s="1" t="str">
        <f t="shared" si="24"/>
        <v/>
      </c>
    </row>
    <row r="302" spans="1:10" x14ac:dyDescent="0.2">
      <c r="A302" s="1" t="str">
        <f t="shared" si="20"/>
        <v/>
      </c>
      <c r="B302" s="1"/>
      <c r="C302" s="15" t="str">
        <f t="shared" ca="1" si="21"/>
        <v/>
      </c>
      <c r="D302" s="1" t="str">
        <f>IF(ISBLANK(B302),"",VLOOKUP(B302,formules!E:F,2,0))</f>
        <v/>
      </c>
      <c r="E302" s="1" t="str">
        <f t="shared" si="22"/>
        <v/>
      </c>
      <c r="F302" s="17" t="str">
        <f>IF(ISBLANK(B302),"",VLOOKUP(B302,formules!E:K,7,0))</f>
        <v/>
      </c>
      <c r="G302" s="17" t="str">
        <f>IF(ISBLANK(B302),"",VLOOKUP(B302,formules!E:L,8,0))</f>
        <v/>
      </c>
      <c r="H302" s="1" t="str">
        <f t="shared" si="23"/>
        <v/>
      </c>
      <c r="I302" s="1"/>
      <c r="J302" s="1" t="str">
        <f t="shared" si="24"/>
        <v/>
      </c>
    </row>
    <row r="303" spans="1:10" x14ac:dyDescent="0.2">
      <c r="A303" s="1" t="str">
        <f t="shared" si="20"/>
        <v/>
      </c>
      <c r="B303" s="1"/>
      <c r="C303" s="15" t="str">
        <f t="shared" ca="1" si="21"/>
        <v/>
      </c>
      <c r="D303" s="1" t="str">
        <f>IF(ISBLANK(B303),"",VLOOKUP(B303,formules!E:F,2,0))</f>
        <v/>
      </c>
      <c r="E303" s="1" t="str">
        <f t="shared" si="22"/>
        <v/>
      </c>
      <c r="F303" s="17" t="str">
        <f>IF(ISBLANK(B303),"",VLOOKUP(B303,formules!E:K,7,0))</f>
        <v/>
      </c>
      <c r="G303" s="17" t="str">
        <f>IF(ISBLANK(B303),"",VLOOKUP(B303,formules!E:L,8,0))</f>
        <v/>
      </c>
      <c r="H303" s="1" t="str">
        <f t="shared" si="23"/>
        <v/>
      </c>
      <c r="I303" s="1"/>
      <c r="J303" s="1" t="str">
        <f t="shared" si="24"/>
        <v/>
      </c>
    </row>
    <row r="304" spans="1:10" x14ac:dyDescent="0.2">
      <c r="A304" s="1" t="str">
        <f t="shared" si="20"/>
        <v/>
      </c>
      <c r="B304" s="1"/>
      <c r="C304" s="15" t="str">
        <f t="shared" ca="1" si="21"/>
        <v/>
      </c>
      <c r="D304" s="1" t="str">
        <f>IF(ISBLANK(B304),"",VLOOKUP(B304,formules!E:F,2,0))</f>
        <v/>
      </c>
      <c r="E304" s="1" t="str">
        <f t="shared" si="22"/>
        <v/>
      </c>
      <c r="F304" s="17" t="str">
        <f>IF(ISBLANK(B304),"",VLOOKUP(B304,formules!E:K,7,0))</f>
        <v/>
      </c>
      <c r="G304" s="17" t="str">
        <f>IF(ISBLANK(B304),"",VLOOKUP(B304,formules!E:L,8,0))</f>
        <v/>
      </c>
      <c r="H304" s="1" t="str">
        <f t="shared" si="23"/>
        <v/>
      </c>
      <c r="I304" s="1"/>
      <c r="J304" s="1" t="str">
        <f t="shared" si="24"/>
        <v/>
      </c>
    </row>
    <row r="305" spans="1:10" x14ac:dyDescent="0.2">
      <c r="A305" s="1" t="str">
        <f t="shared" si="20"/>
        <v/>
      </c>
      <c r="B305" s="1"/>
      <c r="C305" s="15" t="str">
        <f t="shared" ca="1" si="21"/>
        <v/>
      </c>
      <c r="D305" s="1" t="str">
        <f>IF(ISBLANK(B305),"",VLOOKUP(B305,formules!E:F,2,0))</f>
        <v/>
      </c>
      <c r="E305" s="1" t="str">
        <f t="shared" si="22"/>
        <v/>
      </c>
      <c r="F305" s="17" t="str">
        <f>IF(ISBLANK(B305),"",VLOOKUP(B305,formules!E:K,7,0))</f>
        <v/>
      </c>
      <c r="G305" s="17" t="str">
        <f>IF(ISBLANK(B305),"",VLOOKUP(B305,formules!E:L,8,0))</f>
        <v/>
      </c>
      <c r="H305" s="1" t="str">
        <f t="shared" si="23"/>
        <v/>
      </c>
      <c r="I305" s="1"/>
      <c r="J305" s="1" t="str">
        <f t="shared" si="24"/>
        <v/>
      </c>
    </row>
    <row r="306" spans="1:10" x14ac:dyDescent="0.2">
      <c r="A306" s="1" t="str">
        <f t="shared" si="20"/>
        <v/>
      </c>
      <c r="B306" s="1"/>
      <c r="C306" s="15" t="str">
        <f t="shared" ca="1" si="21"/>
        <v/>
      </c>
      <c r="D306" s="1" t="str">
        <f>IF(ISBLANK(B306),"",VLOOKUP(B306,formules!E:F,2,0))</f>
        <v/>
      </c>
      <c r="E306" s="1" t="str">
        <f t="shared" si="22"/>
        <v/>
      </c>
      <c r="F306" s="17" t="str">
        <f>IF(ISBLANK(B306),"",VLOOKUP(B306,formules!E:K,7,0))</f>
        <v/>
      </c>
      <c r="G306" s="17" t="str">
        <f>IF(ISBLANK(B306),"",VLOOKUP(B306,formules!E:L,8,0))</f>
        <v/>
      </c>
      <c r="H306" s="1" t="str">
        <f t="shared" si="23"/>
        <v/>
      </c>
      <c r="I306" s="1"/>
      <c r="J306" s="1" t="str">
        <f t="shared" si="24"/>
        <v/>
      </c>
    </row>
    <row r="307" spans="1:10" x14ac:dyDescent="0.2">
      <c r="A307" s="1" t="str">
        <f t="shared" si="20"/>
        <v/>
      </c>
      <c r="B307" s="1"/>
      <c r="C307" s="15" t="str">
        <f t="shared" ca="1" si="21"/>
        <v/>
      </c>
      <c r="D307" s="1" t="str">
        <f>IF(ISBLANK(B307),"",VLOOKUP(B307,formules!E:F,2,0))</f>
        <v/>
      </c>
      <c r="E307" s="1" t="str">
        <f t="shared" si="22"/>
        <v/>
      </c>
      <c r="F307" s="17" t="str">
        <f>IF(ISBLANK(B307),"",VLOOKUP(B307,formules!E:K,7,0))</f>
        <v/>
      </c>
      <c r="G307" s="17" t="str">
        <f>IF(ISBLANK(B307),"",VLOOKUP(B307,formules!E:L,8,0))</f>
        <v/>
      </c>
      <c r="H307" s="1" t="str">
        <f t="shared" si="23"/>
        <v/>
      </c>
      <c r="I307" s="1"/>
      <c r="J307" s="1" t="str">
        <f t="shared" si="24"/>
        <v/>
      </c>
    </row>
    <row r="308" spans="1:10" x14ac:dyDescent="0.2">
      <c r="A308" s="1" t="str">
        <f t="shared" si="20"/>
        <v/>
      </c>
      <c r="B308" s="1"/>
      <c r="C308" s="15" t="str">
        <f t="shared" ca="1" si="21"/>
        <v/>
      </c>
      <c r="D308" s="1" t="str">
        <f>IF(ISBLANK(B308),"",VLOOKUP(B308,formules!E:F,2,0))</f>
        <v/>
      </c>
      <c r="E308" s="1" t="str">
        <f t="shared" si="22"/>
        <v/>
      </c>
      <c r="F308" s="17" t="str">
        <f>IF(ISBLANK(B308),"",VLOOKUP(B308,formules!E:K,7,0))</f>
        <v/>
      </c>
      <c r="G308" s="17" t="str">
        <f>IF(ISBLANK(B308),"",VLOOKUP(B308,formules!E:L,8,0))</f>
        <v/>
      </c>
      <c r="H308" s="1" t="str">
        <f t="shared" si="23"/>
        <v/>
      </c>
      <c r="I308" s="1"/>
      <c r="J308" s="1" t="str">
        <f t="shared" si="24"/>
        <v/>
      </c>
    </row>
    <row r="309" spans="1:10" x14ac:dyDescent="0.2">
      <c r="A309" s="1" t="str">
        <f t="shared" si="20"/>
        <v/>
      </c>
      <c r="B309" s="1"/>
      <c r="C309" s="15" t="str">
        <f t="shared" ca="1" si="21"/>
        <v/>
      </c>
      <c r="D309" s="1" t="str">
        <f>IF(ISBLANK(B309),"",VLOOKUP(B309,formules!E:F,2,0))</f>
        <v/>
      </c>
      <c r="E309" s="1" t="str">
        <f t="shared" si="22"/>
        <v/>
      </c>
      <c r="F309" s="17" t="str">
        <f>IF(ISBLANK(B309),"",VLOOKUP(B309,formules!E:K,7,0))</f>
        <v/>
      </c>
      <c r="G309" s="17" t="str">
        <f>IF(ISBLANK(B309),"",VLOOKUP(B309,formules!E:L,8,0))</f>
        <v/>
      </c>
      <c r="H309" s="1" t="str">
        <f t="shared" si="23"/>
        <v/>
      </c>
      <c r="I309" s="1"/>
      <c r="J309" s="1" t="str">
        <f t="shared" si="24"/>
        <v/>
      </c>
    </row>
    <row r="310" spans="1:10" x14ac:dyDescent="0.2">
      <c r="A310" s="1" t="str">
        <f t="shared" si="20"/>
        <v/>
      </c>
      <c r="B310" s="1"/>
      <c r="C310" s="15" t="str">
        <f t="shared" ca="1" si="21"/>
        <v/>
      </c>
      <c r="D310" s="1" t="str">
        <f>IF(ISBLANK(B310),"",VLOOKUP(B310,formules!E:F,2,0))</f>
        <v/>
      </c>
      <c r="E310" s="1" t="str">
        <f t="shared" si="22"/>
        <v/>
      </c>
      <c r="F310" s="17" t="str">
        <f>IF(ISBLANK(B310),"",VLOOKUP(B310,formules!E:K,7,0))</f>
        <v/>
      </c>
      <c r="G310" s="17" t="str">
        <f>IF(ISBLANK(B310),"",VLOOKUP(B310,formules!E:L,8,0))</f>
        <v/>
      </c>
      <c r="H310" s="1" t="str">
        <f t="shared" si="23"/>
        <v/>
      </c>
      <c r="I310" s="1"/>
      <c r="J310" s="1" t="str">
        <f t="shared" si="24"/>
        <v/>
      </c>
    </row>
    <row r="311" spans="1:10" x14ac:dyDescent="0.2">
      <c r="A311" s="1" t="str">
        <f t="shared" si="20"/>
        <v/>
      </c>
      <c r="B311" s="1"/>
      <c r="C311" s="15" t="str">
        <f t="shared" ca="1" si="21"/>
        <v/>
      </c>
      <c r="D311" s="1" t="str">
        <f>IF(ISBLANK(B311),"",VLOOKUP(B311,formules!E:F,2,0))</f>
        <v/>
      </c>
      <c r="E311" s="1" t="str">
        <f t="shared" si="22"/>
        <v/>
      </c>
      <c r="F311" s="17" t="str">
        <f>IF(ISBLANK(B311),"",VLOOKUP(B311,formules!E:K,7,0))</f>
        <v/>
      </c>
      <c r="G311" s="17" t="str">
        <f>IF(ISBLANK(B311),"",VLOOKUP(B311,formules!E:L,8,0))</f>
        <v/>
      </c>
      <c r="H311" s="1" t="str">
        <f t="shared" si="23"/>
        <v/>
      </c>
      <c r="I311" s="1"/>
      <c r="J311" s="1" t="str">
        <f t="shared" si="24"/>
        <v/>
      </c>
    </row>
    <row r="312" spans="1:10" x14ac:dyDescent="0.2">
      <c r="A312" s="1" t="str">
        <f t="shared" si="20"/>
        <v/>
      </c>
      <c r="B312" s="1"/>
      <c r="C312" s="15" t="str">
        <f t="shared" ca="1" si="21"/>
        <v/>
      </c>
      <c r="D312" s="1" t="str">
        <f>IF(ISBLANK(B312),"",VLOOKUP(B312,formules!E:F,2,0))</f>
        <v/>
      </c>
      <c r="E312" s="1" t="str">
        <f t="shared" si="22"/>
        <v/>
      </c>
      <c r="F312" s="17" t="str">
        <f>IF(ISBLANK(B312),"",VLOOKUP(B312,formules!E:K,7,0))</f>
        <v/>
      </c>
      <c r="G312" s="17" t="str">
        <f>IF(ISBLANK(B312),"",VLOOKUP(B312,formules!E:L,8,0))</f>
        <v/>
      </c>
      <c r="H312" s="1" t="str">
        <f t="shared" si="23"/>
        <v/>
      </c>
      <c r="I312" s="1"/>
      <c r="J312" s="1" t="str">
        <f t="shared" si="24"/>
        <v/>
      </c>
    </row>
    <row r="313" spans="1:10" x14ac:dyDescent="0.2">
      <c r="A313" s="1" t="str">
        <f t="shared" si="20"/>
        <v/>
      </c>
      <c r="B313" s="1"/>
      <c r="C313" s="15" t="str">
        <f t="shared" ca="1" si="21"/>
        <v/>
      </c>
      <c r="D313" s="1" t="str">
        <f>IF(ISBLANK(B313),"",VLOOKUP(B313,formules!E:F,2,0))</f>
        <v/>
      </c>
      <c r="E313" s="1" t="str">
        <f t="shared" si="22"/>
        <v/>
      </c>
      <c r="F313" s="17" t="str">
        <f>IF(ISBLANK(B313),"",VLOOKUP(B313,formules!E:K,7,0))</f>
        <v/>
      </c>
      <c r="G313" s="17" t="str">
        <f>IF(ISBLANK(B313),"",VLOOKUP(B313,formules!E:L,8,0))</f>
        <v/>
      </c>
      <c r="H313" s="1" t="str">
        <f t="shared" si="23"/>
        <v/>
      </c>
      <c r="I313" s="1"/>
      <c r="J313" s="1" t="str">
        <f t="shared" si="24"/>
        <v/>
      </c>
    </row>
    <row r="314" spans="1:10" x14ac:dyDescent="0.2">
      <c r="A314" s="1" t="str">
        <f t="shared" si="20"/>
        <v/>
      </c>
      <c r="B314" s="1"/>
      <c r="C314" s="15" t="str">
        <f t="shared" ca="1" si="21"/>
        <v/>
      </c>
      <c r="D314" s="1" t="str">
        <f>IF(ISBLANK(B314),"",VLOOKUP(B314,formules!E:F,2,0))</f>
        <v/>
      </c>
      <c r="E314" s="1" t="str">
        <f t="shared" si="22"/>
        <v/>
      </c>
      <c r="F314" s="17" t="str">
        <f>IF(ISBLANK(B314),"",VLOOKUP(B314,formules!E:K,7,0))</f>
        <v/>
      </c>
      <c r="G314" s="17" t="str">
        <f>IF(ISBLANK(B314),"",VLOOKUP(B314,formules!E:L,8,0))</f>
        <v/>
      </c>
      <c r="H314" s="1" t="str">
        <f t="shared" si="23"/>
        <v/>
      </c>
      <c r="I314" s="1"/>
      <c r="J314" s="1" t="str">
        <f t="shared" si="24"/>
        <v/>
      </c>
    </row>
    <row r="315" spans="1:10" x14ac:dyDescent="0.2">
      <c r="A315" s="1" t="str">
        <f t="shared" si="20"/>
        <v/>
      </c>
      <c r="B315" s="1"/>
      <c r="C315" s="15" t="str">
        <f t="shared" ca="1" si="21"/>
        <v/>
      </c>
      <c r="D315" s="1" t="str">
        <f>IF(ISBLANK(B315),"",VLOOKUP(B315,formules!E:F,2,0))</f>
        <v/>
      </c>
      <c r="E315" s="1" t="str">
        <f t="shared" si="22"/>
        <v/>
      </c>
      <c r="F315" s="17" t="str">
        <f>IF(ISBLANK(B315),"",VLOOKUP(B315,formules!E:K,7,0))</f>
        <v/>
      </c>
      <c r="G315" s="17" t="str">
        <f>IF(ISBLANK(B315),"",VLOOKUP(B315,formules!E:L,8,0))</f>
        <v/>
      </c>
      <c r="H315" s="1" t="str">
        <f t="shared" si="23"/>
        <v/>
      </c>
      <c r="I315" s="1"/>
      <c r="J315" s="1" t="str">
        <f t="shared" si="24"/>
        <v/>
      </c>
    </row>
    <row r="316" spans="1:10" x14ac:dyDescent="0.2">
      <c r="A316" s="1" t="str">
        <f t="shared" si="20"/>
        <v/>
      </c>
      <c r="B316" s="1"/>
      <c r="C316" s="15" t="str">
        <f t="shared" ca="1" si="21"/>
        <v/>
      </c>
      <c r="D316" s="1" t="str">
        <f>IF(ISBLANK(B316),"",VLOOKUP(B316,formules!E:F,2,0))</f>
        <v/>
      </c>
      <c r="E316" s="1" t="str">
        <f t="shared" si="22"/>
        <v/>
      </c>
      <c r="F316" s="17" t="str">
        <f>IF(ISBLANK(B316),"",VLOOKUP(B316,formules!E:K,7,0))</f>
        <v/>
      </c>
      <c r="G316" s="17" t="str">
        <f>IF(ISBLANK(B316),"",VLOOKUP(B316,formules!E:L,8,0))</f>
        <v/>
      </c>
      <c r="H316" s="1" t="str">
        <f t="shared" si="23"/>
        <v/>
      </c>
      <c r="I316" s="1"/>
      <c r="J316" s="1" t="str">
        <f t="shared" si="24"/>
        <v/>
      </c>
    </row>
    <row r="317" spans="1:10" x14ac:dyDescent="0.2">
      <c r="A317" s="1" t="str">
        <f t="shared" si="20"/>
        <v/>
      </c>
      <c r="B317" s="1"/>
      <c r="C317" s="15" t="str">
        <f t="shared" ca="1" si="21"/>
        <v/>
      </c>
      <c r="D317" s="1" t="str">
        <f>IF(ISBLANK(B317),"",VLOOKUP(B317,formules!E:F,2,0))</f>
        <v/>
      </c>
      <c r="E317" s="1" t="str">
        <f t="shared" si="22"/>
        <v/>
      </c>
      <c r="F317" s="17" t="str">
        <f>IF(ISBLANK(B317),"",VLOOKUP(B317,formules!E:K,7,0))</f>
        <v/>
      </c>
      <c r="G317" s="17" t="str">
        <f>IF(ISBLANK(B317),"",VLOOKUP(B317,formules!E:L,8,0))</f>
        <v/>
      </c>
      <c r="H317" s="1" t="str">
        <f t="shared" si="23"/>
        <v/>
      </c>
      <c r="I317" s="1"/>
      <c r="J317" s="1" t="str">
        <f t="shared" si="24"/>
        <v/>
      </c>
    </row>
    <row r="318" spans="1:10" x14ac:dyDescent="0.2">
      <c r="A318" s="1" t="str">
        <f t="shared" si="20"/>
        <v/>
      </c>
      <c r="B318" s="1"/>
      <c r="C318" s="15" t="str">
        <f t="shared" ca="1" si="21"/>
        <v/>
      </c>
      <c r="D318" s="1" t="str">
        <f>IF(ISBLANK(B318),"",VLOOKUP(B318,formules!E:F,2,0))</f>
        <v/>
      </c>
      <c r="E318" s="1" t="str">
        <f t="shared" si="22"/>
        <v/>
      </c>
      <c r="F318" s="17" t="str">
        <f>IF(ISBLANK(B318),"",VLOOKUP(B318,formules!E:K,7,0))</f>
        <v/>
      </c>
      <c r="G318" s="17" t="str">
        <f>IF(ISBLANK(B318),"",VLOOKUP(B318,formules!E:L,8,0))</f>
        <v/>
      </c>
      <c r="H318" s="1" t="str">
        <f t="shared" si="23"/>
        <v/>
      </c>
      <c r="I318" s="1"/>
      <c r="J318" s="1" t="str">
        <f t="shared" si="24"/>
        <v/>
      </c>
    </row>
    <row r="319" spans="1:10" x14ac:dyDescent="0.2">
      <c r="A319" s="1" t="str">
        <f t="shared" si="20"/>
        <v/>
      </c>
      <c r="B319" s="1"/>
      <c r="C319" s="15" t="str">
        <f t="shared" ca="1" si="21"/>
        <v/>
      </c>
      <c r="D319" s="1" t="str">
        <f>IF(ISBLANK(B319),"",VLOOKUP(B319,formules!E:F,2,0))</f>
        <v/>
      </c>
      <c r="E319" s="1" t="str">
        <f t="shared" si="22"/>
        <v/>
      </c>
      <c r="F319" s="17" t="str">
        <f>IF(ISBLANK(B319),"",VLOOKUP(B319,formules!E:K,7,0))</f>
        <v/>
      </c>
      <c r="G319" s="17" t="str">
        <f>IF(ISBLANK(B319),"",VLOOKUP(B319,formules!E:L,8,0))</f>
        <v/>
      </c>
      <c r="H319" s="1" t="str">
        <f t="shared" si="23"/>
        <v/>
      </c>
      <c r="I319" s="1"/>
      <c r="J319" s="1" t="str">
        <f t="shared" si="24"/>
        <v/>
      </c>
    </row>
    <row r="320" spans="1:10" x14ac:dyDescent="0.2">
      <c r="A320" s="1" t="str">
        <f t="shared" si="20"/>
        <v/>
      </c>
      <c r="B320" s="1"/>
      <c r="C320" s="15" t="str">
        <f t="shared" ca="1" si="21"/>
        <v/>
      </c>
      <c r="D320" s="1" t="str">
        <f>IF(ISBLANK(B320),"",VLOOKUP(B320,formules!E:F,2,0))</f>
        <v/>
      </c>
      <c r="E320" s="1" t="str">
        <f t="shared" si="22"/>
        <v/>
      </c>
      <c r="F320" s="17" t="str">
        <f>IF(ISBLANK(B320),"",VLOOKUP(B320,formules!E:K,7,0))</f>
        <v/>
      </c>
      <c r="G320" s="17" t="str">
        <f>IF(ISBLANK(B320),"",VLOOKUP(B320,formules!E:L,8,0))</f>
        <v/>
      </c>
      <c r="H320" s="1" t="str">
        <f t="shared" si="23"/>
        <v/>
      </c>
      <c r="I320" s="1"/>
      <c r="J320" s="1" t="str">
        <f t="shared" si="24"/>
        <v/>
      </c>
    </row>
    <row r="321" spans="1:10" x14ac:dyDescent="0.2">
      <c r="A321" s="1" t="str">
        <f t="shared" si="20"/>
        <v/>
      </c>
      <c r="B321" s="1"/>
      <c r="C321" s="15" t="str">
        <f t="shared" ca="1" si="21"/>
        <v/>
      </c>
      <c r="D321" s="1" t="str">
        <f>IF(ISBLANK(B321),"",VLOOKUP(B321,formules!E:F,2,0))</f>
        <v/>
      </c>
      <c r="E321" s="1" t="str">
        <f t="shared" si="22"/>
        <v/>
      </c>
      <c r="F321" s="17" t="str">
        <f>IF(ISBLANK(B321),"",VLOOKUP(B321,formules!E:K,7,0))</f>
        <v/>
      </c>
      <c r="G321" s="17" t="str">
        <f>IF(ISBLANK(B321),"",VLOOKUP(B321,formules!E:L,8,0))</f>
        <v/>
      </c>
      <c r="H321" s="1" t="str">
        <f t="shared" si="23"/>
        <v/>
      </c>
      <c r="I321" s="1"/>
      <c r="J321" s="1" t="str">
        <f t="shared" si="24"/>
        <v/>
      </c>
    </row>
    <row r="322" spans="1:10" x14ac:dyDescent="0.2">
      <c r="A322" s="1" t="str">
        <f t="shared" si="20"/>
        <v/>
      </c>
      <c r="B322" s="1"/>
      <c r="C322" s="15" t="str">
        <f t="shared" ca="1" si="21"/>
        <v/>
      </c>
      <c r="D322" s="1" t="str">
        <f>IF(ISBLANK(B322),"",VLOOKUP(B322,formules!E:F,2,0))</f>
        <v/>
      </c>
      <c r="E322" s="1" t="str">
        <f t="shared" si="22"/>
        <v/>
      </c>
      <c r="F322" s="17" t="str">
        <f>IF(ISBLANK(B322),"",VLOOKUP(B322,formules!E:K,7,0))</f>
        <v/>
      </c>
      <c r="G322" s="17" t="str">
        <f>IF(ISBLANK(B322),"",VLOOKUP(B322,formules!E:L,8,0))</f>
        <v/>
      </c>
      <c r="H322" s="1" t="str">
        <f t="shared" si="23"/>
        <v/>
      </c>
      <c r="I322" s="1"/>
      <c r="J322" s="1" t="str">
        <f t="shared" si="24"/>
        <v/>
      </c>
    </row>
    <row r="323" spans="1:10" x14ac:dyDescent="0.2">
      <c r="A323" s="1" t="str">
        <f t="shared" ref="A323:A386" si="25">IF(ISBLANK(B323),"","variation")</f>
        <v/>
      </c>
      <c r="B323" s="1"/>
      <c r="C323" s="15" t="str">
        <f t="shared" ref="C323:C386" ca="1" si="26">IF(ISBLANK(B323),"",RANDBETWEEN(1111111111111,9999999999999))</f>
        <v/>
      </c>
      <c r="D323" s="1" t="str">
        <f>IF(ISBLANK(B323),"",VLOOKUP(B323,formules!E:F,2,0))</f>
        <v/>
      </c>
      <c r="E323" s="1" t="str">
        <f t="shared" ref="E323:E386" si="27">IF(ISBLANK(B323),"",1)</f>
        <v/>
      </c>
      <c r="F323" s="17" t="str">
        <f>IF(ISBLANK(B323),"",VLOOKUP(B323,formules!E:K,7,0))</f>
        <v/>
      </c>
      <c r="G323" s="17" t="str">
        <f>IF(ISBLANK(B323),"",VLOOKUP(B323,formules!E:L,8,0))</f>
        <v/>
      </c>
      <c r="H323" s="1" t="str">
        <f t="shared" ref="H323:H386" si="28">IF(ISBLANK(B323),"","Size")</f>
        <v/>
      </c>
      <c r="I323" s="1"/>
      <c r="J323" s="1" t="str">
        <f t="shared" ref="J323:J386" si="29">IF(ISBLANK(B323),"",1)</f>
        <v/>
      </c>
    </row>
    <row r="324" spans="1:10" x14ac:dyDescent="0.2">
      <c r="A324" s="1" t="str">
        <f t="shared" si="25"/>
        <v/>
      </c>
      <c r="B324" s="1"/>
      <c r="C324" s="15" t="str">
        <f t="shared" ca="1" si="26"/>
        <v/>
      </c>
      <c r="D324" s="1" t="str">
        <f>IF(ISBLANK(B324),"",VLOOKUP(B324,formules!E:F,2,0))</f>
        <v/>
      </c>
      <c r="E324" s="1" t="str">
        <f t="shared" si="27"/>
        <v/>
      </c>
      <c r="F324" s="17" t="str">
        <f>IF(ISBLANK(B324),"",VLOOKUP(B324,formules!E:K,7,0))</f>
        <v/>
      </c>
      <c r="G324" s="17" t="str">
        <f>IF(ISBLANK(B324),"",VLOOKUP(B324,formules!E:L,8,0))</f>
        <v/>
      </c>
      <c r="H324" s="1" t="str">
        <f t="shared" si="28"/>
        <v/>
      </c>
      <c r="I324" s="1"/>
      <c r="J324" s="1" t="str">
        <f t="shared" si="29"/>
        <v/>
      </c>
    </row>
    <row r="325" spans="1:10" x14ac:dyDescent="0.2">
      <c r="A325" s="1" t="str">
        <f t="shared" si="25"/>
        <v/>
      </c>
      <c r="B325" s="1"/>
      <c r="C325" s="15" t="str">
        <f t="shared" ca="1" si="26"/>
        <v/>
      </c>
      <c r="D325" s="1" t="str">
        <f>IF(ISBLANK(B325),"",VLOOKUP(B325,formules!E:F,2,0))</f>
        <v/>
      </c>
      <c r="E325" s="1" t="str">
        <f t="shared" si="27"/>
        <v/>
      </c>
      <c r="F325" s="17" t="str">
        <f>IF(ISBLANK(B325),"",VLOOKUP(B325,formules!E:K,7,0))</f>
        <v/>
      </c>
      <c r="G325" s="17" t="str">
        <f>IF(ISBLANK(B325),"",VLOOKUP(B325,formules!E:L,8,0))</f>
        <v/>
      </c>
      <c r="H325" s="1" t="str">
        <f t="shared" si="28"/>
        <v/>
      </c>
      <c r="I325" s="1"/>
      <c r="J325" s="1" t="str">
        <f t="shared" si="29"/>
        <v/>
      </c>
    </row>
    <row r="326" spans="1:10" x14ac:dyDescent="0.2">
      <c r="A326" s="1" t="str">
        <f t="shared" si="25"/>
        <v/>
      </c>
      <c r="B326" s="1"/>
      <c r="C326" s="15" t="str">
        <f t="shared" ca="1" si="26"/>
        <v/>
      </c>
      <c r="D326" s="1" t="str">
        <f>IF(ISBLANK(B326),"",VLOOKUP(B326,formules!E:F,2,0))</f>
        <v/>
      </c>
      <c r="E326" s="1" t="str">
        <f t="shared" si="27"/>
        <v/>
      </c>
      <c r="F326" s="17" t="str">
        <f>IF(ISBLANK(B326),"",VLOOKUP(B326,formules!E:K,7,0))</f>
        <v/>
      </c>
      <c r="G326" s="17" t="str">
        <f>IF(ISBLANK(B326),"",VLOOKUP(B326,formules!E:L,8,0))</f>
        <v/>
      </c>
      <c r="H326" s="1" t="str">
        <f t="shared" si="28"/>
        <v/>
      </c>
      <c r="I326" s="1"/>
      <c r="J326" s="1" t="str">
        <f t="shared" si="29"/>
        <v/>
      </c>
    </row>
    <row r="327" spans="1:10" x14ac:dyDescent="0.2">
      <c r="A327" s="1" t="str">
        <f t="shared" si="25"/>
        <v/>
      </c>
      <c r="B327" s="1"/>
      <c r="C327" s="15" t="str">
        <f t="shared" ca="1" si="26"/>
        <v/>
      </c>
      <c r="D327" s="1" t="str">
        <f>IF(ISBLANK(B327),"",VLOOKUP(B327,formules!E:F,2,0))</f>
        <v/>
      </c>
      <c r="E327" s="1" t="str">
        <f t="shared" si="27"/>
        <v/>
      </c>
      <c r="F327" s="17" t="str">
        <f>IF(ISBLANK(B327),"",VLOOKUP(B327,formules!E:K,7,0))</f>
        <v/>
      </c>
      <c r="G327" s="17" t="str">
        <f>IF(ISBLANK(B327),"",VLOOKUP(B327,formules!E:L,8,0))</f>
        <v/>
      </c>
      <c r="H327" s="1" t="str">
        <f t="shared" si="28"/>
        <v/>
      </c>
      <c r="I327" s="1"/>
      <c r="J327" s="1" t="str">
        <f t="shared" si="29"/>
        <v/>
      </c>
    </row>
    <row r="328" spans="1:10" x14ac:dyDescent="0.2">
      <c r="A328" s="1" t="str">
        <f t="shared" si="25"/>
        <v/>
      </c>
      <c r="B328" s="1"/>
      <c r="C328" s="15" t="str">
        <f t="shared" ca="1" si="26"/>
        <v/>
      </c>
      <c r="D328" s="1" t="str">
        <f>IF(ISBLANK(B328),"",VLOOKUP(B328,formules!E:F,2,0))</f>
        <v/>
      </c>
      <c r="E328" s="1" t="str">
        <f t="shared" si="27"/>
        <v/>
      </c>
      <c r="F328" s="17" t="str">
        <f>IF(ISBLANK(B328),"",VLOOKUP(B328,formules!E:K,7,0))</f>
        <v/>
      </c>
      <c r="G328" s="17" t="str">
        <f>IF(ISBLANK(B328),"",VLOOKUP(B328,formules!E:L,8,0))</f>
        <v/>
      </c>
      <c r="H328" s="1" t="str">
        <f t="shared" si="28"/>
        <v/>
      </c>
      <c r="I328" s="1"/>
      <c r="J328" s="1" t="str">
        <f t="shared" si="29"/>
        <v/>
      </c>
    </row>
    <row r="329" spans="1:10" x14ac:dyDescent="0.2">
      <c r="A329" s="1" t="str">
        <f t="shared" si="25"/>
        <v/>
      </c>
      <c r="B329" s="1"/>
      <c r="C329" s="15" t="str">
        <f t="shared" ca="1" si="26"/>
        <v/>
      </c>
      <c r="D329" s="1" t="str">
        <f>IF(ISBLANK(B329),"",VLOOKUP(B329,formules!E:F,2,0))</f>
        <v/>
      </c>
      <c r="E329" s="1" t="str">
        <f t="shared" si="27"/>
        <v/>
      </c>
      <c r="F329" s="17" t="str">
        <f>IF(ISBLANK(B329),"",VLOOKUP(B329,formules!E:K,7,0))</f>
        <v/>
      </c>
      <c r="G329" s="17" t="str">
        <f>IF(ISBLANK(B329),"",VLOOKUP(B329,formules!E:L,8,0))</f>
        <v/>
      </c>
      <c r="H329" s="1" t="str">
        <f t="shared" si="28"/>
        <v/>
      </c>
      <c r="I329" s="1"/>
      <c r="J329" s="1" t="str">
        <f t="shared" si="29"/>
        <v/>
      </c>
    </row>
    <row r="330" spans="1:10" x14ac:dyDescent="0.2">
      <c r="A330" s="1" t="str">
        <f t="shared" si="25"/>
        <v/>
      </c>
      <c r="B330" s="1"/>
      <c r="C330" s="15" t="str">
        <f t="shared" ca="1" si="26"/>
        <v/>
      </c>
      <c r="D330" s="1" t="str">
        <f>IF(ISBLANK(B330),"",VLOOKUP(B330,formules!E:F,2,0))</f>
        <v/>
      </c>
      <c r="E330" s="1" t="str">
        <f t="shared" si="27"/>
        <v/>
      </c>
      <c r="F330" s="17" t="str">
        <f>IF(ISBLANK(B330),"",VLOOKUP(B330,formules!E:K,7,0))</f>
        <v/>
      </c>
      <c r="G330" s="17" t="str">
        <f>IF(ISBLANK(B330),"",VLOOKUP(B330,formules!E:L,8,0))</f>
        <v/>
      </c>
      <c r="H330" s="1" t="str">
        <f t="shared" si="28"/>
        <v/>
      </c>
      <c r="I330" s="1"/>
      <c r="J330" s="1" t="str">
        <f t="shared" si="29"/>
        <v/>
      </c>
    </row>
    <row r="331" spans="1:10" x14ac:dyDescent="0.2">
      <c r="A331" s="1" t="str">
        <f t="shared" si="25"/>
        <v/>
      </c>
      <c r="B331" s="1"/>
      <c r="C331" s="15" t="str">
        <f t="shared" ca="1" si="26"/>
        <v/>
      </c>
      <c r="D331" s="1" t="str">
        <f>IF(ISBLANK(B331),"",VLOOKUP(B331,formules!E:F,2,0))</f>
        <v/>
      </c>
      <c r="E331" s="1" t="str">
        <f t="shared" si="27"/>
        <v/>
      </c>
      <c r="F331" s="17" t="str">
        <f>IF(ISBLANK(B331),"",VLOOKUP(B331,formules!E:K,7,0))</f>
        <v/>
      </c>
      <c r="G331" s="17" t="str">
        <f>IF(ISBLANK(B331),"",VLOOKUP(B331,formules!E:L,8,0))</f>
        <v/>
      </c>
      <c r="H331" s="1" t="str">
        <f t="shared" si="28"/>
        <v/>
      </c>
      <c r="I331" s="1"/>
      <c r="J331" s="1" t="str">
        <f t="shared" si="29"/>
        <v/>
      </c>
    </row>
    <row r="332" spans="1:10" x14ac:dyDescent="0.2">
      <c r="A332" s="1" t="str">
        <f t="shared" si="25"/>
        <v/>
      </c>
      <c r="B332" s="1"/>
      <c r="C332" s="15" t="str">
        <f t="shared" ca="1" si="26"/>
        <v/>
      </c>
      <c r="D332" s="1" t="str">
        <f>IF(ISBLANK(B332),"",VLOOKUP(B332,formules!E:F,2,0))</f>
        <v/>
      </c>
      <c r="E332" s="1" t="str">
        <f t="shared" si="27"/>
        <v/>
      </c>
      <c r="F332" s="17" t="str">
        <f>IF(ISBLANK(B332),"",VLOOKUP(B332,formules!E:K,7,0))</f>
        <v/>
      </c>
      <c r="G332" s="17" t="str">
        <f>IF(ISBLANK(B332),"",VLOOKUP(B332,formules!E:L,8,0))</f>
        <v/>
      </c>
      <c r="H332" s="1" t="str">
        <f t="shared" si="28"/>
        <v/>
      </c>
      <c r="I332" s="1"/>
      <c r="J332" s="1" t="str">
        <f t="shared" si="29"/>
        <v/>
      </c>
    </row>
    <row r="333" spans="1:10" x14ac:dyDescent="0.2">
      <c r="A333" s="1" t="str">
        <f t="shared" si="25"/>
        <v/>
      </c>
      <c r="B333" s="1"/>
      <c r="C333" s="15" t="str">
        <f t="shared" ca="1" si="26"/>
        <v/>
      </c>
      <c r="D333" s="1" t="str">
        <f>IF(ISBLANK(B333),"",VLOOKUP(B333,formules!E:F,2,0))</f>
        <v/>
      </c>
      <c r="E333" s="1" t="str">
        <f t="shared" si="27"/>
        <v/>
      </c>
      <c r="F333" s="17" t="str">
        <f>IF(ISBLANK(B333),"",VLOOKUP(B333,formules!E:K,7,0))</f>
        <v/>
      </c>
      <c r="G333" s="17" t="str">
        <f>IF(ISBLANK(B333),"",VLOOKUP(B333,formules!E:L,8,0))</f>
        <v/>
      </c>
      <c r="H333" s="1" t="str">
        <f t="shared" si="28"/>
        <v/>
      </c>
      <c r="I333" s="1"/>
      <c r="J333" s="1" t="str">
        <f t="shared" si="29"/>
        <v/>
      </c>
    </row>
    <row r="334" spans="1:10" x14ac:dyDescent="0.2">
      <c r="A334" s="1" t="str">
        <f t="shared" si="25"/>
        <v/>
      </c>
      <c r="B334" s="1"/>
      <c r="C334" s="15" t="str">
        <f t="shared" ca="1" si="26"/>
        <v/>
      </c>
      <c r="D334" s="1" t="str">
        <f>IF(ISBLANK(B334),"",VLOOKUP(B334,formules!E:F,2,0))</f>
        <v/>
      </c>
      <c r="E334" s="1" t="str">
        <f t="shared" si="27"/>
        <v/>
      </c>
      <c r="F334" s="17" t="str">
        <f>IF(ISBLANK(B334),"",VLOOKUP(B334,formules!E:K,7,0))</f>
        <v/>
      </c>
      <c r="G334" s="17" t="str">
        <f>IF(ISBLANK(B334),"",VLOOKUP(B334,formules!E:L,8,0))</f>
        <v/>
      </c>
      <c r="H334" s="1" t="str">
        <f t="shared" si="28"/>
        <v/>
      </c>
      <c r="I334" s="1"/>
      <c r="J334" s="1" t="str">
        <f t="shared" si="29"/>
        <v/>
      </c>
    </row>
    <row r="335" spans="1:10" x14ac:dyDescent="0.2">
      <c r="A335" s="1" t="str">
        <f t="shared" si="25"/>
        <v/>
      </c>
      <c r="B335" s="1"/>
      <c r="C335" s="15" t="str">
        <f t="shared" ca="1" si="26"/>
        <v/>
      </c>
      <c r="D335" s="1" t="str">
        <f>IF(ISBLANK(B335),"",VLOOKUP(B335,formules!E:F,2,0))</f>
        <v/>
      </c>
      <c r="E335" s="1" t="str">
        <f t="shared" si="27"/>
        <v/>
      </c>
      <c r="F335" s="17" t="str">
        <f>IF(ISBLANK(B335),"",VLOOKUP(B335,formules!E:K,7,0))</f>
        <v/>
      </c>
      <c r="G335" s="17" t="str">
        <f>IF(ISBLANK(B335),"",VLOOKUP(B335,formules!E:L,8,0))</f>
        <v/>
      </c>
      <c r="H335" s="1" t="str">
        <f t="shared" si="28"/>
        <v/>
      </c>
      <c r="I335" s="1"/>
      <c r="J335" s="1" t="str">
        <f t="shared" si="29"/>
        <v/>
      </c>
    </row>
    <row r="336" spans="1:10" x14ac:dyDescent="0.2">
      <c r="A336" s="1" t="str">
        <f t="shared" si="25"/>
        <v/>
      </c>
      <c r="B336" s="1"/>
      <c r="C336" s="15" t="str">
        <f t="shared" ca="1" si="26"/>
        <v/>
      </c>
      <c r="D336" s="1" t="str">
        <f>IF(ISBLANK(B336),"",VLOOKUP(B336,formules!E:F,2,0))</f>
        <v/>
      </c>
      <c r="E336" s="1" t="str">
        <f t="shared" si="27"/>
        <v/>
      </c>
      <c r="F336" s="17" t="str">
        <f>IF(ISBLANK(B336),"",VLOOKUP(B336,formules!E:K,7,0))</f>
        <v/>
      </c>
      <c r="G336" s="17" t="str">
        <f>IF(ISBLANK(B336),"",VLOOKUP(B336,formules!E:L,8,0))</f>
        <v/>
      </c>
      <c r="H336" s="1" t="str">
        <f t="shared" si="28"/>
        <v/>
      </c>
      <c r="I336" s="1"/>
      <c r="J336" s="1" t="str">
        <f t="shared" si="29"/>
        <v/>
      </c>
    </row>
    <row r="337" spans="1:10" x14ac:dyDescent="0.2">
      <c r="A337" s="1" t="str">
        <f t="shared" si="25"/>
        <v/>
      </c>
      <c r="B337" s="1"/>
      <c r="C337" s="15" t="str">
        <f t="shared" ca="1" si="26"/>
        <v/>
      </c>
      <c r="D337" s="1" t="str">
        <f>IF(ISBLANK(B337),"",VLOOKUP(B337,formules!E:F,2,0))</f>
        <v/>
      </c>
      <c r="E337" s="1" t="str">
        <f t="shared" si="27"/>
        <v/>
      </c>
      <c r="F337" s="17" t="str">
        <f>IF(ISBLANK(B337),"",VLOOKUP(B337,formules!E:K,7,0))</f>
        <v/>
      </c>
      <c r="G337" s="17" t="str">
        <f>IF(ISBLANK(B337),"",VLOOKUP(B337,formules!E:L,8,0))</f>
        <v/>
      </c>
      <c r="H337" s="1" t="str">
        <f t="shared" si="28"/>
        <v/>
      </c>
      <c r="I337" s="1"/>
      <c r="J337" s="1" t="str">
        <f t="shared" si="29"/>
        <v/>
      </c>
    </row>
    <row r="338" spans="1:10" x14ac:dyDescent="0.2">
      <c r="A338" s="1" t="str">
        <f t="shared" si="25"/>
        <v/>
      </c>
      <c r="B338" s="1"/>
      <c r="C338" s="15" t="str">
        <f t="shared" ca="1" si="26"/>
        <v/>
      </c>
      <c r="D338" s="1" t="str">
        <f>IF(ISBLANK(B338),"",VLOOKUP(B338,formules!E:F,2,0))</f>
        <v/>
      </c>
      <c r="E338" s="1" t="str">
        <f t="shared" si="27"/>
        <v/>
      </c>
      <c r="F338" s="17" t="str">
        <f>IF(ISBLANK(B338),"",VLOOKUP(B338,formules!E:K,7,0))</f>
        <v/>
      </c>
      <c r="G338" s="17" t="str">
        <f>IF(ISBLANK(B338),"",VLOOKUP(B338,formules!E:L,8,0))</f>
        <v/>
      </c>
      <c r="H338" s="1" t="str">
        <f t="shared" si="28"/>
        <v/>
      </c>
      <c r="I338" s="1"/>
      <c r="J338" s="1" t="str">
        <f t="shared" si="29"/>
        <v/>
      </c>
    </row>
    <row r="339" spans="1:10" x14ac:dyDescent="0.2">
      <c r="A339" s="1" t="str">
        <f t="shared" si="25"/>
        <v/>
      </c>
      <c r="B339" s="1"/>
      <c r="C339" s="15" t="str">
        <f t="shared" ca="1" si="26"/>
        <v/>
      </c>
      <c r="D339" s="1" t="str">
        <f>IF(ISBLANK(B339),"",VLOOKUP(B339,formules!E:F,2,0))</f>
        <v/>
      </c>
      <c r="E339" s="1" t="str">
        <f t="shared" si="27"/>
        <v/>
      </c>
      <c r="F339" s="17" t="str">
        <f>IF(ISBLANK(B339),"",VLOOKUP(B339,formules!E:K,7,0))</f>
        <v/>
      </c>
      <c r="G339" s="17" t="str">
        <f>IF(ISBLANK(B339),"",VLOOKUP(B339,formules!E:L,8,0))</f>
        <v/>
      </c>
      <c r="H339" s="1" t="str">
        <f t="shared" si="28"/>
        <v/>
      </c>
      <c r="I339" s="1"/>
      <c r="J339" s="1" t="str">
        <f t="shared" si="29"/>
        <v/>
      </c>
    </row>
    <row r="340" spans="1:10" x14ac:dyDescent="0.2">
      <c r="A340" s="1" t="str">
        <f t="shared" si="25"/>
        <v/>
      </c>
      <c r="B340" s="1"/>
      <c r="C340" s="15" t="str">
        <f t="shared" ca="1" si="26"/>
        <v/>
      </c>
      <c r="D340" s="1" t="str">
        <f>IF(ISBLANK(B340),"",VLOOKUP(B340,formules!E:F,2,0))</f>
        <v/>
      </c>
      <c r="E340" s="1" t="str">
        <f t="shared" si="27"/>
        <v/>
      </c>
      <c r="F340" s="17" t="str">
        <f>IF(ISBLANK(B340),"",VLOOKUP(B340,formules!E:K,7,0))</f>
        <v/>
      </c>
      <c r="G340" s="17" t="str">
        <f>IF(ISBLANK(B340),"",VLOOKUP(B340,formules!E:L,8,0))</f>
        <v/>
      </c>
      <c r="H340" s="1" t="str">
        <f t="shared" si="28"/>
        <v/>
      </c>
      <c r="I340" s="1"/>
      <c r="J340" s="1" t="str">
        <f t="shared" si="29"/>
        <v/>
      </c>
    </row>
    <row r="341" spans="1:10" x14ac:dyDescent="0.2">
      <c r="A341" s="1" t="str">
        <f t="shared" si="25"/>
        <v/>
      </c>
      <c r="B341" s="1"/>
      <c r="C341" s="15" t="str">
        <f t="shared" ca="1" si="26"/>
        <v/>
      </c>
      <c r="D341" s="1" t="str">
        <f>IF(ISBLANK(B341),"",VLOOKUP(B341,formules!E:F,2,0))</f>
        <v/>
      </c>
      <c r="E341" s="1" t="str">
        <f t="shared" si="27"/>
        <v/>
      </c>
      <c r="F341" s="17" t="str">
        <f>IF(ISBLANK(B341),"",VLOOKUP(B341,formules!E:K,7,0))</f>
        <v/>
      </c>
      <c r="G341" s="17" t="str">
        <f>IF(ISBLANK(B341),"",VLOOKUP(B341,formules!E:L,8,0))</f>
        <v/>
      </c>
      <c r="H341" s="1" t="str">
        <f t="shared" si="28"/>
        <v/>
      </c>
      <c r="I341" s="1"/>
      <c r="J341" s="1" t="str">
        <f t="shared" si="29"/>
        <v/>
      </c>
    </row>
    <row r="342" spans="1:10" x14ac:dyDescent="0.2">
      <c r="A342" s="1" t="str">
        <f t="shared" si="25"/>
        <v/>
      </c>
      <c r="B342" s="1"/>
      <c r="C342" s="15" t="str">
        <f t="shared" ca="1" si="26"/>
        <v/>
      </c>
      <c r="D342" s="1" t="str">
        <f>IF(ISBLANK(B342),"",VLOOKUP(B342,formules!E:F,2,0))</f>
        <v/>
      </c>
      <c r="E342" s="1" t="str">
        <f t="shared" si="27"/>
        <v/>
      </c>
      <c r="F342" s="17" t="str">
        <f>IF(ISBLANK(B342),"",VLOOKUP(B342,formules!E:K,7,0))</f>
        <v/>
      </c>
      <c r="G342" s="17" t="str">
        <f>IF(ISBLANK(B342),"",VLOOKUP(B342,formules!E:L,8,0))</f>
        <v/>
      </c>
      <c r="H342" s="1" t="str">
        <f t="shared" si="28"/>
        <v/>
      </c>
      <c r="I342" s="1"/>
      <c r="J342" s="1" t="str">
        <f t="shared" si="29"/>
        <v/>
      </c>
    </row>
    <row r="343" spans="1:10" x14ac:dyDescent="0.2">
      <c r="A343" s="1" t="str">
        <f t="shared" si="25"/>
        <v/>
      </c>
      <c r="B343" s="1"/>
      <c r="C343" s="15" t="str">
        <f t="shared" ca="1" si="26"/>
        <v/>
      </c>
      <c r="D343" s="1" t="str">
        <f>IF(ISBLANK(B343),"",VLOOKUP(B343,formules!E:F,2,0))</f>
        <v/>
      </c>
      <c r="E343" s="1" t="str">
        <f t="shared" si="27"/>
        <v/>
      </c>
      <c r="F343" s="17" t="str">
        <f>IF(ISBLANK(B343),"",VLOOKUP(B343,formules!E:K,7,0))</f>
        <v/>
      </c>
      <c r="G343" s="17" t="str">
        <f>IF(ISBLANK(B343),"",VLOOKUP(B343,formules!E:L,8,0))</f>
        <v/>
      </c>
      <c r="H343" s="1" t="str">
        <f t="shared" si="28"/>
        <v/>
      </c>
      <c r="I343" s="1"/>
      <c r="J343" s="1" t="str">
        <f t="shared" si="29"/>
        <v/>
      </c>
    </row>
    <row r="344" spans="1:10" x14ac:dyDescent="0.2">
      <c r="A344" s="1" t="str">
        <f t="shared" si="25"/>
        <v/>
      </c>
      <c r="B344" s="1"/>
      <c r="C344" s="15" t="str">
        <f t="shared" ca="1" si="26"/>
        <v/>
      </c>
      <c r="D344" s="1" t="str">
        <f>IF(ISBLANK(B344),"",VLOOKUP(B344,formules!E:F,2,0))</f>
        <v/>
      </c>
      <c r="E344" s="1" t="str">
        <f t="shared" si="27"/>
        <v/>
      </c>
      <c r="F344" s="17" t="str">
        <f>IF(ISBLANK(B344),"",VLOOKUP(B344,formules!E:K,7,0))</f>
        <v/>
      </c>
      <c r="G344" s="17" t="str">
        <f>IF(ISBLANK(B344),"",VLOOKUP(B344,formules!E:L,8,0))</f>
        <v/>
      </c>
      <c r="H344" s="1" t="str">
        <f t="shared" si="28"/>
        <v/>
      </c>
      <c r="I344" s="1"/>
      <c r="J344" s="1" t="str">
        <f t="shared" si="29"/>
        <v/>
      </c>
    </row>
    <row r="345" spans="1:10" x14ac:dyDescent="0.2">
      <c r="A345" s="1" t="str">
        <f t="shared" si="25"/>
        <v/>
      </c>
      <c r="B345" s="1"/>
      <c r="C345" s="15" t="str">
        <f t="shared" ca="1" si="26"/>
        <v/>
      </c>
      <c r="D345" s="1" t="str">
        <f>IF(ISBLANK(B345),"",VLOOKUP(B345,formules!E:F,2,0))</f>
        <v/>
      </c>
      <c r="E345" s="1" t="str">
        <f t="shared" si="27"/>
        <v/>
      </c>
      <c r="F345" s="17" t="str">
        <f>IF(ISBLANK(B345),"",VLOOKUP(B345,formules!E:K,7,0))</f>
        <v/>
      </c>
      <c r="G345" s="17" t="str">
        <f>IF(ISBLANK(B345),"",VLOOKUP(B345,formules!E:L,8,0))</f>
        <v/>
      </c>
      <c r="H345" s="1" t="str">
        <f t="shared" si="28"/>
        <v/>
      </c>
      <c r="I345" s="1"/>
      <c r="J345" s="1" t="str">
        <f t="shared" si="29"/>
        <v/>
      </c>
    </row>
    <row r="346" spans="1:10" x14ac:dyDescent="0.2">
      <c r="A346" s="1" t="str">
        <f t="shared" si="25"/>
        <v/>
      </c>
      <c r="B346" s="1"/>
      <c r="C346" s="15" t="str">
        <f t="shared" ca="1" si="26"/>
        <v/>
      </c>
      <c r="D346" s="1" t="str">
        <f>IF(ISBLANK(B346),"",VLOOKUP(B346,formules!E:F,2,0))</f>
        <v/>
      </c>
      <c r="E346" s="1" t="str">
        <f t="shared" si="27"/>
        <v/>
      </c>
      <c r="F346" s="17" t="str">
        <f>IF(ISBLANK(B346),"",VLOOKUP(B346,formules!E:K,7,0))</f>
        <v/>
      </c>
      <c r="G346" s="17" t="str">
        <f>IF(ISBLANK(B346),"",VLOOKUP(B346,formules!E:L,8,0))</f>
        <v/>
      </c>
      <c r="H346" s="1" t="str">
        <f t="shared" si="28"/>
        <v/>
      </c>
      <c r="I346" s="1"/>
      <c r="J346" s="1" t="str">
        <f t="shared" si="29"/>
        <v/>
      </c>
    </row>
    <row r="347" spans="1:10" x14ac:dyDescent="0.2">
      <c r="A347" s="1" t="str">
        <f t="shared" si="25"/>
        <v/>
      </c>
      <c r="B347" s="1"/>
      <c r="C347" s="15" t="str">
        <f t="shared" ca="1" si="26"/>
        <v/>
      </c>
      <c r="D347" s="1" t="str">
        <f>IF(ISBLANK(B347),"",VLOOKUP(B347,formules!E:F,2,0))</f>
        <v/>
      </c>
      <c r="E347" s="1" t="str">
        <f t="shared" si="27"/>
        <v/>
      </c>
      <c r="F347" s="17" t="str">
        <f>IF(ISBLANK(B347),"",VLOOKUP(B347,formules!E:K,7,0))</f>
        <v/>
      </c>
      <c r="G347" s="17" t="str">
        <f>IF(ISBLANK(B347),"",VLOOKUP(B347,formules!E:L,8,0))</f>
        <v/>
      </c>
      <c r="H347" s="1" t="str">
        <f t="shared" si="28"/>
        <v/>
      </c>
      <c r="I347" s="1"/>
      <c r="J347" s="1" t="str">
        <f t="shared" si="29"/>
        <v/>
      </c>
    </row>
    <row r="348" spans="1:10" x14ac:dyDescent="0.2">
      <c r="A348" s="1" t="str">
        <f t="shared" si="25"/>
        <v/>
      </c>
      <c r="B348" s="1"/>
      <c r="C348" s="15" t="str">
        <f t="shared" ca="1" si="26"/>
        <v/>
      </c>
      <c r="D348" s="1" t="str">
        <f>IF(ISBLANK(B348),"",VLOOKUP(B348,formules!E:F,2,0))</f>
        <v/>
      </c>
      <c r="E348" s="1" t="str">
        <f t="shared" si="27"/>
        <v/>
      </c>
      <c r="F348" s="17" t="str">
        <f>IF(ISBLANK(B348),"",VLOOKUP(B348,formules!E:K,7,0))</f>
        <v/>
      </c>
      <c r="G348" s="17" t="str">
        <f>IF(ISBLANK(B348),"",VLOOKUP(B348,formules!E:L,8,0))</f>
        <v/>
      </c>
      <c r="H348" s="1" t="str">
        <f t="shared" si="28"/>
        <v/>
      </c>
      <c r="I348" s="1"/>
      <c r="J348" s="1" t="str">
        <f t="shared" si="29"/>
        <v/>
      </c>
    </row>
    <row r="349" spans="1:10" x14ac:dyDescent="0.2">
      <c r="A349" s="1" t="str">
        <f t="shared" si="25"/>
        <v/>
      </c>
      <c r="B349" s="1"/>
      <c r="C349" s="15" t="str">
        <f t="shared" ca="1" si="26"/>
        <v/>
      </c>
      <c r="D349" s="1" t="str">
        <f>IF(ISBLANK(B349),"",VLOOKUP(B349,formules!E:F,2,0))</f>
        <v/>
      </c>
      <c r="E349" s="1" t="str">
        <f t="shared" si="27"/>
        <v/>
      </c>
      <c r="F349" s="17" t="str">
        <f>IF(ISBLANK(B349),"",VLOOKUP(B349,formules!E:K,7,0))</f>
        <v/>
      </c>
      <c r="G349" s="17" t="str">
        <f>IF(ISBLANK(B349),"",VLOOKUP(B349,formules!E:L,8,0))</f>
        <v/>
      </c>
      <c r="H349" s="1" t="str">
        <f t="shared" si="28"/>
        <v/>
      </c>
      <c r="I349" s="1"/>
      <c r="J349" s="1" t="str">
        <f t="shared" si="29"/>
        <v/>
      </c>
    </row>
    <row r="350" spans="1:10" x14ac:dyDescent="0.2">
      <c r="A350" s="1" t="str">
        <f t="shared" si="25"/>
        <v/>
      </c>
      <c r="B350" s="1"/>
      <c r="C350" s="15" t="str">
        <f t="shared" ca="1" si="26"/>
        <v/>
      </c>
      <c r="D350" s="1" t="str">
        <f>IF(ISBLANK(B350),"",VLOOKUP(B350,formules!E:F,2,0))</f>
        <v/>
      </c>
      <c r="E350" s="1" t="str">
        <f t="shared" si="27"/>
        <v/>
      </c>
      <c r="F350" s="17" t="str">
        <f>IF(ISBLANK(B350),"",VLOOKUP(B350,formules!E:K,7,0))</f>
        <v/>
      </c>
      <c r="G350" s="17" t="str">
        <f>IF(ISBLANK(B350),"",VLOOKUP(B350,formules!E:L,8,0))</f>
        <v/>
      </c>
      <c r="H350" s="1" t="str">
        <f t="shared" si="28"/>
        <v/>
      </c>
      <c r="I350" s="1"/>
      <c r="J350" s="1" t="str">
        <f t="shared" si="29"/>
        <v/>
      </c>
    </row>
    <row r="351" spans="1:10" x14ac:dyDescent="0.2">
      <c r="A351" s="1" t="str">
        <f t="shared" si="25"/>
        <v/>
      </c>
      <c r="B351" s="1"/>
      <c r="C351" s="15" t="str">
        <f t="shared" ca="1" si="26"/>
        <v/>
      </c>
      <c r="D351" s="1" t="str">
        <f>IF(ISBLANK(B351),"",VLOOKUP(B351,formules!E:F,2,0))</f>
        <v/>
      </c>
      <c r="E351" s="1" t="str">
        <f t="shared" si="27"/>
        <v/>
      </c>
      <c r="F351" s="17" t="str">
        <f>IF(ISBLANK(B351),"",VLOOKUP(B351,formules!E:K,7,0))</f>
        <v/>
      </c>
      <c r="G351" s="17" t="str">
        <f>IF(ISBLANK(B351),"",VLOOKUP(B351,formules!E:L,8,0))</f>
        <v/>
      </c>
      <c r="H351" s="1" t="str">
        <f t="shared" si="28"/>
        <v/>
      </c>
      <c r="I351" s="1"/>
      <c r="J351" s="1" t="str">
        <f t="shared" si="29"/>
        <v/>
      </c>
    </row>
    <row r="352" spans="1:10" x14ac:dyDescent="0.2">
      <c r="A352" s="1" t="str">
        <f t="shared" si="25"/>
        <v/>
      </c>
      <c r="B352" s="1"/>
      <c r="C352" s="15" t="str">
        <f t="shared" ca="1" si="26"/>
        <v/>
      </c>
      <c r="D352" s="1" t="str">
        <f>IF(ISBLANK(B352),"",VLOOKUP(B352,formules!E:F,2,0))</f>
        <v/>
      </c>
      <c r="E352" s="1" t="str">
        <f t="shared" si="27"/>
        <v/>
      </c>
      <c r="F352" s="17" t="str">
        <f>IF(ISBLANK(B352),"",VLOOKUP(B352,formules!E:K,7,0))</f>
        <v/>
      </c>
      <c r="G352" s="17" t="str">
        <f>IF(ISBLANK(B352),"",VLOOKUP(B352,formules!E:L,8,0))</f>
        <v/>
      </c>
      <c r="H352" s="1" t="str">
        <f t="shared" si="28"/>
        <v/>
      </c>
      <c r="I352" s="1"/>
      <c r="J352" s="1" t="str">
        <f t="shared" si="29"/>
        <v/>
      </c>
    </row>
    <row r="353" spans="1:10" x14ac:dyDescent="0.2">
      <c r="A353" s="1" t="str">
        <f t="shared" si="25"/>
        <v/>
      </c>
      <c r="B353" s="1"/>
      <c r="C353" s="15" t="str">
        <f t="shared" ca="1" si="26"/>
        <v/>
      </c>
      <c r="D353" s="1" t="str">
        <f>IF(ISBLANK(B353),"",VLOOKUP(B353,formules!E:F,2,0))</f>
        <v/>
      </c>
      <c r="E353" s="1" t="str">
        <f t="shared" si="27"/>
        <v/>
      </c>
      <c r="F353" s="17" t="str">
        <f>IF(ISBLANK(B353),"",VLOOKUP(B353,formules!E:K,7,0))</f>
        <v/>
      </c>
      <c r="G353" s="17" t="str">
        <f>IF(ISBLANK(B353),"",VLOOKUP(B353,formules!E:L,8,0))</f>
        <v/>
      </c>
      <c r="H353" s="1" t="str">
        <f t="shared" si="28"/>
        <v/>
      </c>
      <c r="I353" s="1"/>
      <c r="J353" s="1" t="str">
        <f t="shared" si="29"/>
        <v/>
      </c>
    </row>
    <row r="354" spans="1:10" x14ac:dyDescent="0.2">
      <c r="A354" s="1" t="str">
        <f t="shared" si="25"/>
        <v/>
      </c>
      <c r="B354" s="1"/>
      <c r="C354" s="15" t="str">
        <f t="shared" ca="1" si="26"/>
        <v/>
      </c>
      <c r="D354" s="1" t="str">
        <f>IF(ISBLANK(B354),"",VLOOKUP(B354,formules!E:F,2,0))</f>
        <v/>
      </c>
      <c r="E354" s="1" t="str">
        <f t="shared" si="27"/>
        <v/>
      </c>
      <c r="F354" s="17" t="str">
        <f>IF(ISBLANK(B354),"",VLOOKUP(B354,formules!E:K,7,0))</f>
        <v/>
      </c>
      <c r="G354" s="17" t="str">
        <f>IF(ISBLANK(B354),"",VLOOKUP(B354,formules!E:L,8,0))</f>
        <v/>
      </c>
      <c r="H354" s="1" t="str">
        <f t="shared" si="28"/>
        <v/>
      </c>
      <c r="I354" s="1"/>
      <c r="J354" s="1" t="str">
        <f t="shared" si="29"/>
        <v/>
      </c>
    </row>
    <row r="355" spans="1:10" x14ac:dyDescent="0.2">
      <c r="A355" s="1" t="str">
        <f t="shared" si="25"/>
        <v/>
      </c>
      <c r="B355" s="1"/>
      <c r="C355" s="15" t="str">
        <f t="shared" ca="1" si="26"/>
        <v/>
      </c>
      <c r="D355" s="1" t="str">
        <f>IF(ISBLANK(B355),"",VLOOKUP(B355,formules!E:F,2,0))</f>
        <v/>
      </c>
      <c r="E355" s="1" t="str">
        <f t="shared" si="27"/>
        <v/>
      </c>
      <c r="F355" s="17" t="str">
        <f>IF(ISBLANK(B355),"",VLOOKUP(B355,formules!E:K,7,0))</f>
        <v/>
      </c>
      <c r="G355" s="17" t="str">
        <f>IF(ISBLANK(B355),"",VLOOKUP(B355,formules!E:L,8,0))</f>
        <v/>
      </c>
      <c r="H355" s="1" t="str">
        <f t="shared" si="28"/>
        <v/>
      </c>
      <c r="I355" s="1"/>
      <c r="J355" s="1" t="str">
        <f t="shared" si="29"/>
        <v/>
      </c>
    </row>
    <row r="356" spans="1:10" x14ac:dyDescent="0.2">
      <c r="A356" s="1" t="str">
        <f t="shared" si="25"/>
        <v/>
      </c>
      <c r="B356" s="1"/>
      <c r="C356" s="15" t="str">
        <f t="shared" ca="1" si="26"/>
        <v/>
      </c>
      <c r="D356" s="1" t="str">
        <f>IF(ISBLANK(B356),"",VLOOKUP(B356,formules!E:F,2,0))</f>
        <v/>
      </c>
      <c r="E356" s="1" t="str">
        <f t="shared" si="27"/>
        <v/>
      </c>
      <c r="F356" s="17" t="str">
        <f>IF(ISBLANK(B356),"",VLOOKUP(B356,formules!E:K,7,0))</f>
        <v/>
      </c>
      <c r="G356" s="17" t="str">
        <f>IF(ISBLANK(B356),"",VLOOKUP(B356,formules!E:L,8,0))</f>
        <v/>
      </c>
      <c r="H356" s="1" t="str">
        <f t="shared" si="28"/>
        <v/>
      </c>
      <c r="I356" s="1"/>
      <c r="J356" s="1" t="str">
        <f t="shared" si="29"/>
        <v/>
      </c>
    </row>
    <row r="357" spans="1:10" x14ac:dyDescent="0.2">
      <c r="A357" s="1" t="str">
        <f t="shared" si="25"/>
        <v/>
      </c>
      <c r="B357" s="1"/>
      <c r="C357" s="15" t="str">
        <f t="shared" ca="1" si="26"/>
        <v/>
      </c>
      <c r="D357" s="1" t="str">
        <f>IF(ISBLANK(B357),"",VLOOKUP(B357,formules!E:F,2,0))</f>
        <v/>
      </c>
      <c r="E357" s="1" t="str">
        <f t="shared" si="27"/>
        <v/>
      </c>
      <c r="F357" s="17" t="str">
        <f>IF(ISBLANK(B357),"",VLOOKUP(B357,formules!E:K,7,0))</f>
        <v/>
      </c>
      <c r="G357" s="17" t="str">
        <f>IF(ISBLANK(B357),"",VLOOKUP(B357,formules!E:L,8,0))</f>
        <v/>
      </c>
      <c r="H357" s="1" t="str">
        <f t="shared" si="28"/>
        <v/>
      </c>
      <c r="I357" s="1"/>
      <c r="J357" s="1" t="str">
        <f t="shared" si="29"/>
        <v/>
      </c>
    </row>
    <row r="358" spans="1:10" x14ac:dyDescent="0.2">
      <c r="A358" s="1" t="str">
        <f t="shared" si="25"/>
        <v/>
      </c>
      <c r="B358" s="1"/>
      <c r="C358" s="15" t="str">
        <f t="shared" ca="1" si="26"/>
        <v/>
      </c>
      <c r="D358" s="1" t="str">
        <f>IF(ISBLANK(B358),"",VLOOKUP(B358,formules!E:F,2,0))</f>
        <v/>
      </c>
      <c r="E358" s="1" t="str">
        <f t="shared" si="27"/>
        <v/>
      </c>
      <c r="F358" s="17" t="str">
        <f>IF(ISBLANK(B358),"",VLOOKUP(B358,formules!E:K,7,0))</f>
        <v/>
      </c>
      <c r="G358" s="17" t="str">
        <f>IF(ISBLANK(B358),"",VLOOKUP(B358,formules!E:L,8,0))</f>
        <v/>
      </c>
      <c r="H358" s="1" t="str">
        <f t="shared" si="28"/>
        <v/>
      </c>
      <c r="I358" s="1"/>
      <c r="J358" s="1" t="str">
        <f t="shared" si="29"/>
        <v/>
      </c>
    </row>
    <row r="359" spans="1:10" x14ac:dyDescent="0.2">
      <c r="A359" s="1" t="str">
        <f t="shared" si="25"/>
        <v/>
      </c>
      <c r="B359" s="1"/>
      <c r="C359" s="15" t="str">
        <f t="shared" ca="1" si="26"/>
        <v/>
      </c>
      <c r="D359" s="1" t="str">
        <f>IF(ISBLANK(B359),"",VLOOKUP(B359,formules!E:F,2,0))</f>
        <v/>
      </c>
      <c r="E359" s="1" t="str">
        <f t="shared" si="27"/>
        <v/>
      </c>
      <c r="F359" s="17" t="str">
        <f>IF(ISBLANK(B359),"",VLOOKUP(B359,formules!E:K,7,0))</f>
        <v/>
      </c>
      <c r="G359" s="17" t="str">
        <f>IF(ISBLANK(B359),"",VLOOKUP(B359,formules!E:L,8,0))</f>
        <v/>
      </c>
      <c r="H359" s="1" t="str">
        <f t="shared" si="28"/>
        <v/>
      </c>
      <c r="I359" s="1"/>
      <c r="J359" s="1" t="str">
        <f t="shared" si="29"/>
        <v/>
      </c>
    </row>
    <row r="360" spans="1:10" x14ac:dyDescent="0.2">
      <c r="A360" s="1" t="str">
        <f t="shared" si="25"/>
        <v/>
      </c>
      <c r="B360" s="1"/>
      <c r="C360" s="15" t="str">
        <f t="shared" ca="1" si="26"/>
        <v/>
      </c>
      <c r="D360" s="1" t="str">
        <f>IF(ISBLANK(B360),"",VLOOKUP(B360,formules!E:F,2,0))</f>
        <v/>
      </c>
      <c r="E360" s="1" t="str">
        <f t="shared" si="27"/>
        <v/>
      </c>
      <c r="F360" s="17" t="str">
        <f>IF(ISBLANK(B360),"",VLOOKUP(B360,formules!E:K,7,0))</f>
        <v/>
      </c>
      <c r="G360" s="17" t="str">
        <f>IF(ISBLANK(B360),"",VLOOKUP(B360,formules!E:L,8,0))</f>
        <v/>
      </c>
      <c r="H360" s="1" t="str">
        <f t="shared" si="28"/>
        <v/>
      </c>
      <c r="I360" s="1"/>
      <c r="J360" s="1" t="str">
        <f t="shared" si="29"/>
        <v/>
      </c>
    </row>
    <row r="361" spans="1:10" x14ac:dyDescent="0.2">
      <c r="A361" s="1" t="str">
        <f t="shared" si="25"/>
        <v/>
      </c>
      <c r="B361" s="1"/>
      <c r="C361" s="15" t="str">
        <f t="shared" ca="1" si="26"/>
        <v/>
      </c>
      <c r="D361" s="1" t="str">
        <f>IF(ISBLANK(B361),"",VLOOKUP(B361,formules!E:F,2,0))</f>
        <v/>
      </c>
      <c r="E361" s="1" t="str">
        <f t="shared" si="27"/>
        <v/>
      </c>
      <c r="F361" s="17" t="str">
        <f>IF(ISBLANK(B361),"",VLOOKUP(B361,formules!E:K,7,0))</f>
        <v/>
      </c>
      <c r="G361" s="17" t="str">
        <f>IF(ISBLANK(B361),"",VLOOKUP(B361,formules!E:L,8,0))</f>
        <v/>
      </c>
      <c r="H361" s="1" t="str">
        <f t="shared" si="28"/>
        <v/>
      </c>
      <c r="I361" s="1"/>
      <c r="J361" s="1" t="str">
        <f t="shared" si="29"/>
        <v/>
      </c>
    </row>
    <row r="362" spans="1:10" x14ac:dyDescent="0.2">
      <c r="A362" s="1" t="str">
        <f t="shared" si="25"/>
        <v/>
      </c>
      <c r="B362" s="1"/>
      <c r="C362" s="15" t="str">
        <f t="shared" ca="1" si="26"/>
        <v/>
      </c>
      <c r="D362" s="1" t="str">
        <f>IF(ISBLANK(B362),"",VLOOKUP(B362,formules!E:F,2,0))</f>
        <v/>
      </c>
      <c r="E362" s="1" t="str">
        <f t="shared" si="27"/>
        <v/>
      </c>
      <c r="F362" s="17" t="str">
        <f>IF(ISBLANK(B362),"",VLOOKUP(B362,formules!E:K,7,0))</f>
        <v/>
      </c>
      <c r="G362" s="17" t="str">
        <f>IF(ISBLANK(B362),"",VLOOKUP(B362,formules!E:L,8,0))</f>
        <v/>
      </c>
      <c r="H362" s="1" t="str">
        <f t="shared" si="28"/>
        <v/>
      </c>
      <c r="I362" s="1"/>
      <c r="J362" s="1" t="str">
        <f t="shared" si="29"/>
        <v/>
      </c>
    </row>
    <row r="363" spans="1:10" x14ac:dyDescent="0.2">
      <c r="A363" s="1" t="str">
        <f t="shared" si="25"/>
        <v/>
      </c>
      <c r="B363" s="1"/>
      <c r="C363" s="15" t="str">
        <f t="shared" ca="1" si="26"/>
        <v/>
      </c>
      <c r="D363" s="1" t="str">
        <f>IF(ISBLANK(B363),"",VLOOKUP(B363,formules!E:F,2,0))</f>
        <v/>
      </c>
      <c r="E363" s="1" t="str">
        <f t="shared" si="27"/>
        <v/>
      </c>
      <c r="F363" s="17" t="str">
        <f>IF(ISBLANK(B363),"",VLOOKUP(B363,formules!E:K,7,0))</f>
        <v/>
      </c>
      <c r="G363" s="17" t="str">
        <f>IF(ISBLANK(B363),"",VLOOKUP(B363,formules!E:L,8,0))</f>
        <v/>
      </c>
      <c r="H363" s="1" t="str">
        <f t="shared" si="28"/>
        <v/>
      </c>
      <c r="I363" s="1"/>
      <c r="J363" s="1" t="str">
        <f t="shared" si="29"/>
        <v/>
      </c>
    </row>
    <row r="364" spans="1:10" x14ac:dyDescent="0.2">
      <c r="A364" s="1" t="str">
        <f t="shared" si="25"/>
        <v/>
      </c>
      <c r="B364" s="1"/>
      <c r="C364" s="15" t="str">
        <f t="shared" ca="1" si="26"/>
        <v/>
      </c>
      <c r="D364" s="1" t="str">
        <f>IF(ISBLANK(B364),"",VLOOKUP(B364,formules!E:F,2,0))</f>
        <v/>
      </c>
      <c r="E364" s="1" t="str">
        <f t="shared" si="27"/>
        <v/>
      </c>
      <c r="F364" s="17" t="str">
        <f>IF(ISBLANK(B364),"",VLOOKUP(B364,formules!E:K,7,0))</f>
        <v/>
      </c>
      <c r="G364" s="17" t="str">
        <f>IF(ISBLANK(B364),"",VLOOKUP(B364,formules!E:L,8,0))</f>
        <v/>
      </c>
      <c r="H364" s="1" t="str">
        <f t="shared" si="28"/>
        <v/>
      </c>
      <c r="I364" s="1"/>
      <c r="J364" s="1" t="str">
        <f t="shared" si="29"/>
        <v/>
      </c>
    </row>
    <row r="365" spans="1:10" x14ac:dyDescent="0.2">
      <c r="A365" s="1" t="str">
        <f t="shared" si="25"/>
        <v/>
      </c>
      <c r="B365" s="1"/>
      <c r="C365" s="15" t="str">
        <f t="shared" ca="1" si="26"/>
        <v/>
      </c>
      <c r="D365" s="1" t="str">
        <f>IF(ISBLANK(B365),"",VLOOKUP(B365,formules!E:F,2,0))</f>
        <v/>
      </c>
      <c r="E365" s="1" t="str">
        <f t="shared" si="27"/>
        <v/>
      </c>
      <c r="F365" s="17" t="str">
        <f>IF(ISBLANK(B365),"",VLOOKUP(B365,formules!E:K,7,0))</f>
        <v/>
      </c>
      <c r="G365" s="17" t="str">
        <f>IF(ISBLANK(B365),"",VLOOKUP(B365,formules!E:L,8,0))</f>
        <v/>
      </c>
      <c r="H365" s="1" t="str">
        <f t="shared" si="28"/>
        <v/>
      </c>
      <c r="I365" s="1"/>
      <c r="J365" s="1" t="str">
        <f t="shared" si="29"/>
        <v/>
      </c>
    </row>
    <row r="366" spans="1:10" x14ac:dyDescent="0.2">
      <c r="A366" s="1" t="str">
        <f t="shared" si="25"/>
        <v/>
      </c>
      <c r="B366" s="1"/>
      <c r="C366" s="15" t="str">
        <f t="shared" ca="1" si="26"/>
        <v/>
      </c>
      <c r="D366" s="1" t="str">
        <f>IF(ISBLANK(B366),"",VLOOKUP(B366,formules!E:F,2,0))</f>
        <v/>
      </c>
      <c r="E366" s="1" t="str">
        <f t="shared" si="27"/>
        <v/>
      </c>
      <c r="F366" s="17" t="str">
        <f>IF(ISBLANK(B366),"",VLOOKUP(B366,formules!E:K,7,0))</f>
        <v/>
      </c>
      <c r="G366" s="17" t="str">
        <f>IF(ISBLANK(B366),"",VLOOKUP(B366,formules!E:L,8,0))</f>
        <v/>
      </c>
      <c r="H366" s="1" t="str">
        <f t="shared" si="28"/>
        <v/>
      </c>
      <c r="I366" s="1"/>
      <c r="J366" s="1" t="str">
        <f t="shared" si="29"/>
        <v/>
      </c>
    </row>
    <row r="367" spans="1:10" x14ac:dyDescent="0.2">
      <c r="A367" s="1" t="str">
        <f t="shared" si="25"/>
        <v/>
      </c>
      <c r="B367" s="1"/>
      <c r="C367" s="15" t="str">
        <f t="shared" ca="1" si="26"/>
        <v/>
      </c>
      <c r="D367" s="1" t="str">
        <f>IF(ISBLANK(B367),"",VLOOKUP(B367,formules!E:F,2,0))</f>
        <v/>
      </c>
      <c r="E367" s="1" t="str">
        <f t="shared" si="27"/>
        <v/>
      </c>
      <c r="F367" s="17" t="str">
        <f>IF(ISBLANK(B367),"",VLOOKUP(B367,formules!E:K,7,0))</f>
        <v/>
      </c>
      <c r="G367" s="17" t="str">
        <f>IF(ISBLANK(B367),"",VLOOKUP(B367,formules!E:L,8,0))</f>
        <v/>
      </c>
      <c r="H367" s="1" t="str">
        <f t="shared" si="28"/>
        <v/>
      </c>
      <c r="I367" s="1"/>
      <c r="J367" s="1" t="str">
        <f t="shared" si="29"/>
        <v/>
      </c>
    </row>
    <row r="368" spans="1:10" x14ac:dyDescent="0.2">
      <c r="A368" s="1" t="str">
        <f t="shared" si="25"/>
        <v/>
      </c>
      <c r="B368" s="1"/>
      <c r="C368" s="15" t="str">
        <f t="shared" ca="1" si="26"/>
        <v/>
      </c>
      <c r="D368" s="1" t="str">
        <f>IF(ISBLANK(B368),"",VLOOKUP(B368,formules!E:F,2,0))</f>
        <v/>
      </c>
      <c r="E368" s="1" t="str">
        <f t="shared" si="27"/>
        <v/>
      </c>
      <c r="F368" s="17" t="str">
        <f>IF(ISBLANK(B368),"",VLOOKUP(B368,formules!E:K,7,0))</f>
        <v/>
      </c>
      <c r="G368" s="17" t="str">
        <f>IF(ISBLANK(B368),"",VLOOKUP(B368,formules!E:L,8,0))</f>
        <v/>
      </c>
      <c r="H368" s="1" t="str">
        <f t="shared" si="28"/>
        <v/>
      </c>
      <c r="I368" s="1"/>
      <c r="J368" s="1" t="str">
        <f t="shared" si="29"/>
        <v/>
      </c>
    </row>
    <row r="369" spans="1:10" x14ac:dyDescent="0.2">
      <c r="A369" s="1" t="str">
        <f t="shared" si="25"/>
        <v/>
      </c>
      <c r="B369" s="1"/>
      <c r="C369" s="15" t="str">
        <f t="shared" ca="1" si="26"/>
        <v/>
      </c>
      <c r="D369" s="1" t="str">
        <f>IF(ISBLANK(B369),"",VLOOKUP(B369,formules!E:F,2,0))</f>
        <v/>
      </c>
      <c r="E369" s="1" t="str">
        <f t="shared" si="27"/>
        <v/>
      </c>
      <c r="F369" s="17" t="str">
        <f>IF(ISBLANK(B369),"",VLOOKUP(B369,formules!E:K,7,0))</f>
        <v/>
      </c>
      <c r="G369" s="17" t="str">
        <f>IF(ISBLANK(B369),"",VLOOKUP(B369,formules!E:L,8,0))</f>
        <v/>
      </c>
      <c r="H369" s="1" t="str">
        <f t="shared" si="28"/>
        <v/>
      </c>
      <c r="I369" s="1"/>
      <c r="J369" s="1" t="str">
        <f t="shared" si="29"/>
        <v/>
      </c>
    </row>
    <row r="370" spans="1:10" x14ac:dyDescent="0.2">
      <c r="A370" s="1" t="str">
        <f t="shared" si="25"/>
        <v/>
      </c>
      <c r="B370" s="1"/>
      <c r="C370" s="15" t="str">
        <f t="shared" ca="1" si="26"/>
        <v/>
      </c>
      <c r="D370" s="1" t="str">
        <f>IF(ISBLANK(B370),"",VLOOKUP(B370,formules!E:F,2,0))</f>
        <v/>
      </c>
      <c r="E370" s="1" t="str">
        <f t="shared" si="27"/>
        <v/>
      </c>
      <c r="F370" s="17" t="str">
        <f>IF(ISBLANK(B370),"",VLOOKUP(B370,formules!E:K,7,0))</f>
        <v/>
      </c>
      <c r="G370" s="17" t="str">
        <f>IF(ISBLANK(B370),"",VLOOKUP(B370,formules!E:L,8,0))</f>
        <v/>
      </c>
      <c r="H370" s="1" t="str">
        <f t="shared" si="28"/>
        <v/>
      </c>
      <c r="I370" s="1"/>
      <c r="J370" s="1" t="str">
        <f t="shared" si="29"/>
        <v/>
      </c>
    </row>
    <row r="371" spans="1:10" x14ac:dyDescent="0.2">
      <c r="A371" s="1" t="str">
        <f t="shared" si="25"/>
        <v/>
      </c>
      <c r="B371" s="1"/>
      <c r="C371" s="15" t="str">
        <f t="shared" ca="1" si="26"/>
        <v/>
      </c>
      <c r="D371" s="1" t="str">
        <f>IF(ISBLANK(B371),"",VLOOKUP(B371,formules!E:F,2,0))</f>
        <v/>
      </c>
      <c r="E371" s="1" t="str">
        <f t="shared" si="27"/>
        <v/>
      </c>
      <c r="F371" s="17" t="str">
        <f>IF(ISBLANK(B371),"",VLOOKUP(B371,formules!E:K,7,0))</f>
        <v/>
      </c>
      <c r="G371" s="17" t="str">
        <f>IF(ISBLANK(B371),"",VLOOKUP(B371,formules!E:L,8,0))</f>
        <v/>
      </c>
      <c r="H371" s="1" t="str">
        <f t="shared" si="28"/>
        <v/>
      </c>
      <c r="I371" s="1"/>
      <c r="J371" s="1" t="str">
        <f t="shared" si="29"/>
        <v/>
      </c>
    </row>
    <row r="372" spans="1:10" x14ac:dyDescent="0.2">
      <c r="A372" s="1" t="str">
        <f t="shared" si="25"/>
        <v/>
      </c>
      <c r="B372" s="1"/>
      <c r="C372" s="15" t="str">
        <f t="shared" ca="1" si="26"/>
        <v/>
      </c>
      <c r="D372" s="1" t="str">
        <f>IF(ISBLANK(B372),"",VLOOKUP(B372,formules!E:F,2,0))</f>
        <v/>
      </c>
      <c r="E372" s="1" t="str">
        <f t="shared" si="27"/>
        <v/>
      </c>
      <c r="F372" s="17" t="str">
        <f>IF(ISBLANK(B372),"",VLOOKUP(B372,formules!E:K,7,0))</f>
        <v/>
      </c>
      <c r="G372" s="17" t="str">
        <f>IF(ISBLANK(B372),"",VLOOKUP(B372,formules!E:L,8,0))</f>
        <v/>
      </c>
      <c r="H372" s="1" t="str">
        <f t="shared" si="28"/>
        <v/>
      </c>
      <c r="I372" s="1"/>
      <c r="J372" s="1" t="str">
        <f t="shared" si="29"/>
        <v/>
      </c>
    </row>
    <row r="373" spans="1:10" x14ac:dyDescent="0.2">
      <c r="A373" s="1" t="str">
        <f t="shared" si="25"/>
        <v/>
      </c>
      <c r="B373" s="1"/>
      <c r="C373" s="15" t="str">
        <f t="shared" ca="1" si="26"/>
        <v/>
      </c>
      <c r="D373" s="1" t="str">
        <f>IF(ISBLANK(B373),"",VLOOKUP(B373,formules!E:F,2,0))</f>
        <v/>
      </c>
      <c r="E373" s="1" t="str">
        <f t="shared" si="27"/>
        <v/>
      </c>
      <c r="F373" s="17" t="str">
        <f>IF(ISBLANK(B373),"",VLOOKUP(B373,formules!E:K,7,0))</f>
        <v/>
      </c>
      <c r="G373" s="17" t="str">
        <f>IF(ISBLANK(B373),"",VLOOKUP(B373,formules!E:L,8,0))</f>
        <v/>
      </c>
      <c r="H373" s="1" t="str">
        <f t="shared" si="28"/>
        <v/>
      </c>
      <c r="I373" s="1"/>
      <c r="J373" s="1" t="str">
        <f t="shared" si="29"/>
        <v/>
      </c>
    </row>
    <row r="374" spans="1:10" x14ac:dyDescent="0.2">
      <c r="A374" s="1" t="str">
        <f t="shared" si="25"/>
        <v/>
      </c>
      <c r="B374" s="1"/>
      <c r="C374" s="15" t="str">
        <f t="shared" ca="1" si="26"/>
        <v/>
      </c>
      <c r="D374" s="1" t="str">
        <f>IF(ISBLANK(B374),"",VLOOKUP(B374,formules!E:F,2,0))</f>
        <v/>
      </c>
      <c r="E374" s="1" t="str">
        <f t="shared" si="27"/>
        <v/>
      </c>
      <c r="F374" s="17" t="str">
        <f>IF(ISBLANK(B374),"",VLOOKUP(B374,formules!E:K,7,0))</f>
        <v/>
      </c>
      <c r="G374" s="17" t="str">
        <f>IF(ISBLANK(B374),"",VLOOKUP(B374,formules!E:L,8,0))</f>
        <v/>
      </c>
      <c r="H374" s="1" t="str">
        <f t="shared" si="28"/>
        <v/>
      </c>
      <c r="I374" s="1"/>
      <c r="J374" s="1" t="str">
        <f t="shared" si="29"/>
        <v/>
      </c>
    </row>
    <row r="375" spans="1:10" x14ac:dyDescent="0.2">
      <c r="A375" s="1" t="str">
        <f t="shared" si="25"/>
        <v/>
      </c>
      <c r="B375" s="1"/>
      <c r="C375" s="15" t="str">
        <f t="shared" ca="1" si="26"/>
        <v/>
      </c>
      <c r="D375" s="1" t="str">
        <f>IF(ISBLANK(B375),"",VLOOKUP(B375,formules!E:F,2,0))</f>
        <v/>
      </c>
      <c r="E375" s="1" t="str">
        <f t="shared" si="27"/>
        <v/>
      </c>
      <c r="F375" s="17" t="str">
        <f>IF(ISBLANK(B375),"",VLOOKUP(B375,formules!E:K,7,0))</f>
        <v/>
      </c>
      <c r="G375" s="17" t="str">
        <f>IF(ISBLANK(B375),"",VLOOKUP(B375,formules!E:L,8,0))</f>
        <v/>
      </c>
      <c r="H375" s="1" t="str">
        <f t="shared" si="28"/>
        <v/>
      </c>
      <c r="I375" s="1"/>
      <c r="J375" s="1" t="str">
        <f t="shared" si="29"/>
        <v/>
      </c>
    </row>
    <row r="376" spans="1:10" x14ac:dyDescent="0.2">
      <c r="A376" s="1" t="str">
        <f t="shared" si="25"/>
        <v/>
      </c>
      <c r="B376" s="1"/>
      <c r="C376" s="15" t="str">
        <f t="shared" ca="1" si="26"/>
        <v/>
      </c>
      <c r="D376" s="1" t="str">
        <f>IF(ISBLANK(B376),"",VLOOKUP(B376,formules!E:F,2,0))</f>
        <v/>
      </c>
      <c r="E376" s="1" t="str">
        <f t="shared" si="27"/>
        <v/>
      </c>
      <c r="F376" s="17" t="str">
        <f>IF(ISBLANK(B376),"",VLOOKUP(B376,formules!E:K,7,0))</f>
        <v/>
      </c>
      <c r="G376" s="17" t="str">
        <f>IF(ISBLANK(B376),"",VLOOKUP(B376,formules!E:L,8,0))</f>
        <v/>
      </c>
      <c r="H376" s="1" t="str">
        <f t="shared" si="28"/>
        <v/>
      </c>
      <c r="I376" s="1"/>
      <c r="J376" s="1" t="str">
        <f t="shared" si="29"/>
        <v/>
      </c>
    </row>
    <row r="377" spans="1:10" x14ac:dyDescent="0.2">
      <c r="A377" s="1" t="str">
        <f t="shared" si="25"/>
        <v/>
      </c>
      <c r="B377" s="1"/>
      <c r="C377" s="15" t="str">
        <f t="shared" ca="1" si="26"/>
        <v/>
      </c>
      <c r="D377" s="1" t="str">
        <f>IF(ISBLANK(B377),"",VLOOKUP(B377,formules!E:F,2,0))</f>
        <v/>
      </c>
      <c r="E377" s="1" t="str">
        <f t="shared" si="27"/>
        <v/>
      </c>
      <c r="F377" s="17" t="str">
        <f>IF(ISBLANK(B377),"",VLOOKUP(B377,formules!E:K,7,0))</f>
        <v/>
      </c>
      <c r="G377" s="17" t="str">
        <f>IF(ISBLANK(B377),"",VLOOKUP(B377,formules!E:L,8,0))</f>
        <v/>
      </c>
      <c r="H377" s="1" t="str">
        <f t="shared" si="28"/>
        <v/>
      </c>
      <c r="I377" s="1"/>
      <c r="J377" s="1" t="str">
        <f t="shared" si="29"/>
        <v/>
      </c>
    </row>
    <row r="378" spans="1:10" x14ac:dyDescent="0.2">
      <c r="A378" s="1" t="str">
        <f t="shared" si="25"/>
        <v/>
      </c>
      <c r="B378" s="1"/>
      <c r="C378" s="15" t="str">
        <f t="shared" ca="1" si="26"/>
        <v/>
      </c>
      <c r="D378" s="1" t="str">
        <f>IF(ISBLANK(B378),"",VLOOKUP(B378,formules!E:F,2,0))</f>
        <v/>
      </c>
      <c r="E378" s="1" t="str">
        <f t="shared" si="27"/>
        <v/>
      </c>
      <c r="F378" s="17" t="str">
        <f>IF(ISBLANK(B378),"",VLOOKUP(B378,formules!E:K,7,0))</f>
        <v/>
      </c>
      <c r="G378" s="17" t="str">
        <f>IF(ISBLANK(B378),"",VLOOKUP(B378,formules!E:L,8,0))</f>
        <v/>
      </c>
      <c r="H378" s="1" t="str">
        <f t="shared" si="28"/>
        <v/>
      </c>
      <c r="I378" s="1"/>
      <c r="J378" s="1" t="str">
        <f t="shared" si="29"/>
        <v/>
      </c>
    </row>
    <row r="379" spans="1:10" x14ac:dyDescent="0.2">
      <c r="A379" s="1" t="str">
        <f t="shared" si="25"/>
        <v/>
      </c>
      <c r="B379" s="1"/>
      <c r="C379" s="15" t="str">
        <f t="shared" ca="1" si="26"/>
        <v/>
      </c>
      <c r="D379" s="1" t="str">
        <f>IF(ISBLANK(B379),"",VLOOKUP(B379,formules!E:F,2,0))</f>
        <v/>
      </c>
      <c r="E379" s="1" t="str">
        <f t="shared" si="27"/>
        <v/>
      </c>
      <c r="F379" s="17" t="str">
        <f>IF(ISBLANK(B379),"",VLOOKUP(B379,formules!E:K,7,0))</f>
        <v/>
      </c>
      <c r="G379" s="17" t="str">
        <f>IF(ISBLANK(B379),"",VLOOKUP(B379,formules!E:L,8,0))</f>
        <v/>
      </c>
      <c r="H379" s="1" t="str">
        <f t="shared" si="28"/>
        <v/>
      </c>
      <c r="I379" s="1"/>
      <c r="J379" s="1" t="str">
        <f t="shared" si="29"/>
        <v/>
      </c>
    </row>
    <row r="380" spans="1:10" x14ac:dyDescent="0.2">
      <c r="A380" s="1" t="str">
        <f t="shared" si="25"/>
        <v/>
      </c>
      <c r="B380" s="1"/>
      <c r="C380" s="15" t="str">
        <f t="shared" ca="1" si="26"/>
        <v/>
      </c>
      <c r="D380" s="1" t="str">
        <f>IF(ISBLANK(B380),"",VLOOKUP(B380,formules!E:F,2,0))</f>
        <v/>
      </c>
      <c r="E380" s="1" t="str">
        <f t="shared" si="27"/>
        <v/>
      </c>
      <c r="F380" s="17" t="str">
        <f>IF(ISBLANK(B380),"",VLOOKUP(B380,formules!E:K,7,0))</f>
        <v/>
      </c>
      <c r="G380" s="17" t="str">
        <f>IF(ISBLANK(B380),"",VLOOKUP(B380,formules!E:L,8,0))</f>
        <v/>
      </c>
      <c r="H380" s="1" t="str">
        <f t="shared" si="28"/>
        <v/>
      </c>
      <c r="I380" s="1"/>
      <c r="J380" s="1" t="str">
        <f t="shared" si="29"/>
        <v/>
      </c>
    </row>
    <row r="381" spans="1:10" x14ac:dyDescent="0.2">
      <c r="A381" s="1" t="str">
        <f t="shared" si="25"/>
        <v/>
      </c>
      <c r="B381" s="1"/>
      <c r="C381" s="15" t="str">
        <f t="shared" ca="1" si="26"/>
        <v/>
      </c>
      <c r="D381" s="1" t="str">
        <f>IF(ISBLANK(B381),"",VLOOKUP(B381,formules!E:F,2,0))</f>
        <v/>
      </c>
      <c r="E381" s="1" t="str">
        <f t="shared" si="27"/>
        <v/>
      </c>
      <c r="F381" s="17" t="str">
        <f>IF(ISBLANK(B381),"",VLOOKUP(B381,formules!E:K,7,0))</f>
        <v/>
      </c>
      <c r="G381" s="17" t="str">
        <f>IF(ISBLANK(B381),"",VLOOKUP(B381,formules!E:L,8,0))</f>
        <v/>
      </c>
      <c r="H381" s="1" t="str">
        <f t="shared" si="28"/>
        <v/>
      </c>
      <c r="I381" s="1"/>
      <c r="J381" s="1" t="str">
        <f t="shared" si="29"/>
        <v/>
      </c>
    </row>
    <row r="382" spans="1:10" x14ac:dyDescent="0.2">
      <c r="A382" s="1" t="str">
        <f t="shared" si="25"/>
        <v/>
      </c>
      <c r="B382" s="1"/>
      <c r="C382" s="15" t="str">
        <f t="shared" ca="1" si="26"/>
        <v/>
      </c>
      <c r="D382" s="1" t="str">
        <f>IF(ISBLANK(B382),"",VLOOKUP(B382,formules!E:F,2,0))</f>
        <v/>
      </c>
      <c r="E382" s="1" t="str">
        <f t="shared" si="27"/>
        <v/>
      </c>
      <c r="F382" s="17" t="str">
        <f>IF(ISBLANK(B382),"",VLOOKUP(B382,formules!E:K,7,0))</f>
        <v/>
      </c>
      <c r="G382" s="17" t="str">
        <f>IF(ISBLANK(B382),"",VLOOKUP(B382,formules!E:L,8,0))</f>
        <v/>
      </c>
      <c r="H382" s="1" t="str">
        <f t="shared" si="28"/>
        <v/>
      </c>
      <c r="I382" s="1"/>
      <c r="J382" s="1" t="str">
        <f t="shared" si="29"/>
        <v/>
      </c>
    </row>
    <row r="383" spans="1:10" x14ac:dyDescent="0.2">
      <c r="A383" s="1" t="str">
        <f t="shared" si="25"/>
        <v/>
      </c>
      <c r="B383" s="1"/>
      <c r="C383" s="15" t="str">
        <f t="shared" ca="1" si="26"/>
        <v/>
      </c>
      <c r="D383" s="1" t="str">
        <f>IF(ISBLANK(B383),"",VLOOKUP(B383,formules!E:F,2,0))</f>
        <v/>
      </c>
      <c r="E383" s="1" t="str">
        <f t="shared" si="27"/>
        <v/>
      </c>
      <c r="F383" s="17" t="str">
        <f>IF(ISBLANK(B383),"",VLOOKUP(B383,formules!E:K,7,0))</f>
        <v/>
      </c>
      <c r="G383" s="17" t="str">
        <f>IF(ISBLANK(B383),"",VLOOKUP(B383,formules!E:L,8,0))</f>
        <v/>
      </c>
      <c r="H383" s="1" t="str">
        <f t="shared" si="28"/>
        <v/>
      </c>
      <c r="I383" s="1"/>
      <c r="J383" s="1" t="str">
        <f t="shared" si="29"/>
        <v/>
      </c>
    </row>
    <row r="384" spans="1:10" x14ac:dyDescent="0.2">
      <c r="A384" s="1" t="str">
        <f t="shared" si="25"/>
        <v/>
      </c>
      <c r="B384" s="1"/>
      <c r="C384" s="15" t="str">
        <f t="shared" ca="1" si="26"/>
        <v/>
      </c>
      <c r="D384" s="1" t="str">
        <f>IF(ISBLANK(B384),"",VLOOKUP(B384,formules!E:F,2,0))</f>
        <v/>
      </c>
      <c r="E384" s="1" t="str">
        <f t="shared" si="27"/>
        <v/>
      </c>
      <c r="F384" s="17" t="str">
        <f>IF(ISBLANK(B384),"",VLOOKUP(B384,formules!E:K,7,0))</f>
        <v/>
      </c>
      <c r="G384" s="17" t="str">
        <f>IF(ISBLANK(B384),"",VLOOKUP(B384,formules!E:L,8,0))</f>
        <v/>
      </c>
      <c r="H384" s="1" t="str">
        <f t="shared" si="28"/>
        <v/>
      </c>
      <c r="I384" s="1"/>
      <c r="J384" s="1" t="str">
        <f t="shared" si="29"/>
        <v/>
      </c>
    </row>
    <row r="385" spans="1:10" x14ac:dyDescent="0.2">
      <c r="A385" s="1" t="str">
        <f t="shared" si="25"/>
        <v/>
      </c>
      <c r="B385" s="1"/>
      <c r="C385" s="15" t="str">
        <f t="shared" ca="1" si="26"/>
        <v/>
      </c>
      <c r="D385" s="1" t="str">
        <f>IF(ISBLANK(B385),"",VLOOKUP(B385,formules!E:F,2,0))</f>
        <v/>
      </c>
      <c r="E385" s="1" t="str">
        <f t="shared" si="27"/>
        <v/>
      </c>
      <c r="F385" s="17" t="str">
        <f>IF(ISBLANK(B385),"",VLOOKUP(B385,formules!E:K,7,0))</f>
        <v/>
      </c>
      <c r="G385" s="17" t="str">
        <f>IF(ISBLANK(B385),"",VLOOKUP(B385,formules!E:L,8,0))</f>
        <v/>
      </c>
      <c r="H385" s="1" t="str">
        <f t="shared" si="28"/>
        <v/>
      </c>
      <c r="I385" s="1"/>
      <c r="J385" s="1" t="str">
        <f t="shared" si="29"/>
        <v/>
      </c>
    </row>
    <row r="386" spans="1:10" x14ac:dyDescent="0.2">
      <c r="A386" s="1" t="str">
        <f t="shared" si="25"/>
        <v/>
      </c>
      <c r="B386" s="1"/>
      <c r="C386" s="15" t="str">
        <f t="shared" ca="1" si="26"/>
        <v/>
      </c>
      <c r="D386" s="1" t="str">
        <f>IF(ISBLANK(B386),"",VLOOKUP(B386,formules!E:F,2,0))</f>
        <v/>
      </c>
      <c r="E386" s="1" t="str">
        <f t="shared" si="27"/>
        <v/>
      </c>
      <c r="F386" s="17" t="str">
        <f>IF(ISBLANK(B386),"",VLOOKUP(B386,formules!E:K,7,0))</f>
        <v/>
      </c>
      <c r="G386" s="17" t="str">
        <f>IF(ISBLANK(B386),"",VLOOKUP(B386,formules!E:L,8,0))</f>
        <v/>
      </c>
      <c r="H386" s="1" t="str">
        <f t="shared" si="28"/>
        <v/>
      </c>
      <c r="I386" s="1"/>
      <c r="J386" s="1" t="str">
        <f t="shared" si="29"/>
        <v/>
      </c>
    </row>
    <row r="387" spans="1:10" x14ac:dyDescent="0.2">
      <c r="A387" s="1" t="str">
        <f t="shared" ref="A387:A450" si="30">IF(ISBLANK(B387),"","variation")</f>
        <v/>
      </c>
      <c r="B387" s="1"/>
      <c r="C387" s="15" t="str">
        <f t="shared" ref="C387:C450" ca="1" si="31">IF(ISBLANK(B387),"",RANDBETWEEN(1111111111111,9999999999999))</f>
        <v/>
      </c>
      <c r="D387" s="1" t="str">
        <f>IF(ISBLANK(B387),"",VLOOKUP(B387,formules!E:F,2,0))</f>
        <v/>
      </c>
      <c r="E387" s="1" t="str">
        <f t="shared" ref="E387:E450" si="32">IF(ISBLANK(B387),"",1)</f>
        <v/>
      </c>
      <c r="F387" s="17" t="str">
        <f>IF(ISBLANK(B387),"",VLOOKUP(B387,formules!E:K,7,0))</f>
        <v/>
      </c>
      <c r="G387" s="17" t="str">
        <f>IF(ISBLANK(B387),"",VLOOKUP(B387,formules!E:L,8,0))</f>
        <v/>
      </c>
      <c r="H387" s="1" t="str">
        <f t="shared" ref="H387:H450" si="33">IF(ISBLANK(B387),"","Size")</f>
        <v/>
      </c>
      <c r="I387" s="1"/>
      <c r="J387" s="1" t="str">
        <f t="shared" ref="J387:J450" si="34">IF(ISBLANK(B387),"",1)</f>
        <v/>
      </c>
    </row>
    <row r="388" spans="1:10" x14ac:dyDescent="0.2">
      <c r="A388" s="1" t="str">
        <f t="shared" si="30"/>
        <v/>
      </c>
      <c r="B388" s="1"/>
      <c r="C388" s="15" t="str">
        <f t="shared" ca="1" si="31"/>
        <v/>
      </c>
      <c r="D388" s="1" t="str">
        <f>IF(ISBLANK(B388),"",VLOOKUP(B388,formules!E:F,2,0))</f>
        <v/>
      </c>
      <c r="E388" s="1" t="str">
        <f t="shared" si="32"/>
        <v/>
      </c>
      <c r="F388" s="17" t="str">
        <f>IF(ISBLANK(B388),"",VLOOKUP(B388,formules!E:K,7,0))</f>
        <v/>
      </c>
      <c r="G388" s="17" t="str">
        <f>IF(ISBLANK(B388),"",VLOOKUP(B388,formules!E:L,8,0))</f>
        <v/>
      </c>
      <c r="H388" s="1" t="str">
        <f t="shared" si="33"/>
        <v/>
      </c>
      <c r="I388" s="1"/>
      <c r="J388" s="1" t="str">
        <f t="shared" si="34"/>
        <v/>
      </c>
    </row>
    <row r="389" spans="1:10" x14ac:dyDescent="0.2">
      <c r="A389" s="1" t="str">
        <f t="shared" si="30"/>
        <v/>
      </c>
      <c r="B389" s="1"/>
      <c r="C389" s="15" t="str">
        <f t="shared" ca="1" si="31"/>
        <v/>
      </c>
      <c r="D389" s="1" t="str">
        <f>IF(ISBLANK(B389),"",VLOOKUP(B389,formules!E:F,2,0))</f>
        <v/>
      </c>
      <c r="E389" s="1" t="str">
        <f t="shared" si="32"/>
        <v/>
      </c>
      <c r="F389" s="17" t="str">
        <f>IF(ISBLANK(B389),"",VLOOKUP(B389,formules!E:K,7,0))</f>
        <v/>
      </c>
      <c r="G389" s="17" t="str">
        <f>IF(ISBLANK(B389),"",VLOOKUP(B389,formules!E:L,8,0))</f>
        <v/>
      </c>
      <c r="H389" s="1" t="str">
        <f t="shared" si="33"/>
        <v/>
      </c>
      <c r="I389" s="1"/>
      <c r="J389" s="1" t="str">
        <f t="shared" si="34"/>
        <v/>
      </c>
    </row>
    <row r="390" spans="1:10" x14ac:dyDescent="0.2">
      <c r="A390" s="1" t="str">
        <f t="shared" si="30"/>
        <v/>
      </c>
      <c r="B390" s="1"/>
      <c r="C390" s="15" t="str">
        <f t="shared" ca="1" si="31"/>
        <v/>
      </c>
      <c r="D390" s="1" t="str">
        <f>IF(ISBLANK(B390),"",VLOOKUP(B390,formules!E:F,2,0))</f>
        <v/>
      </c>
      <c r="E390" s="1" t="str">
        <f t="shared" si="32"/>
        <v/>
      </c>
      <c r="F390" s="17" t="str">
        <f>IF(ISBLANK(B390),"",VLOOKUP(B390,formules!E:K,7,0))</f>
        <v/>
      </c>
      <c r="G390" s="17" t="str">
        <f>IF(ISBLANK(B390),"",VLOOKUP(B390,formules!E:L,8,0))</f>
        <v/>
      </c>
      <c r="H390" s="1" t="str">
        <f t="shared" si="33"/>
        <v/>
      </c>
      <c r="I390" s="1"/>
      <c r="J390" s="1" t="str">
        <f t="shared" si="34"/>
        <v/>
      </c>
    </row>
    <row r="391" spans="1:10" x14ac:dyDescent="0.2">
      <c r="A391" s="1" t="str">
        <f t="shared" si="30"/>
        <v/>
      </c>
      <c r="B391" s="1"/>
      <c r="C391" s="15" t="str">
        <f t="shared" ca="1" si="31"/>
        <v/>
      </c>
      <c r="D391" s="1" t="str">
        <f>IF(ISBLANK(B391),"",VLOOKUP(B391,formules!E:F,2,0))</f>
        <v/>
      </c>
      <c r="E391" s="1" t="str">
        <f t="shared" si="32"/>
        <v/>
      </c>
      <c r="F391" s="17" t="str">
        <f>IF(ISBLANK(B391),"",VLOOKUP(B391,formules!E:K,7,0))</f>
        <v/>
      </c>
      <c r="G391" s="17" t="str">
        <f>IF(ISBLANK(B391),"",VLOOKUP(B391,formules!E:L,8,0))</f>
        <v/>
      </c>
      <c r="H391" s="1" t="str">
        <f t="shared" si="33"/>
        <v/>
      </c>
      <c r="I391" s="1"/>
      <c r="J391" s="1" t="str">
        <f t="shared" si="34"/>
        <v/>
      </c>
    </row>
    <row r="392" spans="1:10" x14ac:dyDescent="0.2">
      <c r="A392" s="1" t="str">
        <f t="shared" si="30"/>
        <v/>
      </c>
      <c r="B392" s="1"/>
      <c r="C392" s="15" t="str">
        <f t="shared" ca="1" si="31"/>
        <v/>
      </c>
      <c r="D392" s="1" t="str">
        <f>IF(ISBLANK(B392),"",VLOOKUP(B392,formules!E:F,2,0))</f>
        <v/>
      </c>
      <c r="E392" s="1" t="str">
        <f t="shared" si="32"/>
        <v/>
      </c>
      <c r="F392" s="17" t="str">
        <f>IF(ISBLANK(B392),"",VLOOKUP(B392,formules!E:K,7,0))</f>
        <v/>
      </c>
      <c r="G392" s="17" t="str">
        <f>IF(ISBLANK(B392),"",VLOOKUP(B392,formules!E:L,8,0))</f>
        <v/>
      </c>
      <c r="H392" s="1" t="str">
        <f t="shared" si="33"/>
        <v/>
      </c>
      <c r="I392" s="1"/>
      <c r="J392" s="1" t="str">
        <f t="shared" si="34"/>
        <v/>
      </c>
    </row>
    <row r="393" spans="1:10" x14ac:dyDescent="0.2">
      <c r="A393" s="1" t="str">
        <f t="shared" si="30"/>
        <v/>
      </c>
      <c r="B393" s="1"/>
      <c r="C393" s="15" t="str">
        <f t="shared" ca="1" si="31"/>
        <v/>
      </c>
      <c r="D393" s="1" t="str">
        <f>IF(ISBLANK(B393),"",VLOOKUP(B393,formules!E:F,2,0))</f>
        <v/>
      </c>
      <c r="E393" s="1" t="str">
        <f t="shared" si="32"/>
        <v/>
      </c>
      <c r="F393" s="17" t="str">
        <f>IF(ISBLANK(B393),"",VLOOKUP(B393,formules!E:K,7,0))</f>
        <v/>
      </c>
      <c r="G393" s="17" t="str">
        <f>IF(ISBLANK(B393),"",VLOOKUP(B393,formules!E:L,8,0))</f>
        <v/>
      </c>
      <c r="H393" s="1" t="str">
        <f t="shared" si="33"/>
        <v/>
      </c>
      <c r="I393" s="1"/>
      <c r="J393" s="1" t="str">
        <f t="shared" si="34"/>
        <v/>
      </c>
    </row>
    <row r="394" spans="1:10" x14ac:dyDescent="0.2">
      <c r="A394" s="1" t="str">
        <f t="shared" si="30"/>
        <v/>
      </c>
      <c r="B394" s="1"/>
      <c r="C394" s="15" t="str">
        <f t="shared" ca="1" si="31"/>
        <v/>
      </c>
      <c r="D394" s="1" t="str">
        <f>IF(ISBLANK(B394),"",VLOOKUP(B394,formules!E:F,2,0))</f>
        <v/>
      </c>
      <c r="E394" s="1" t="str">
        <f t="shared" si="32"/>
        <v/>
      </c>
      <c r="F394" s="17" t="str">
        <f>IF(ISBLANK(B394),"",VLOOKUP(B394,formules!E:K,7,0))</f>
        <v/>
      </c>
      <c r="G394" s="17" t="str">
        <f>IF(ISBLANK(B394),"",VLOOKUP(B394,formules!E:L,8,0))</f>
        <v/>
      </c>
      <c r="H394" s="1" t="str">
        <f t="shared" si="33"/>
        <v/>
      </c>
      <c r="I394" s="1"/>
      <c r="J394" s="1" t="str">
        <f t="shared" si="34"/>
        <v/>
      </c>
    </row>
    <row r="395" spans="1:10" x14ac:dyDescent="0.2">
      <c r="A395" s="1" t="str">
        <f t="shared" si="30"/>
        <v/>
      </c>
      <c r="B395" s="1"/>
      <c r="C395" s="15" t="str">
        <f t="shared" ca="1" si="31"/>
        <v/>
      </c>
      <c r="D395" s="1" t="str">
        <f>IF(ISBLANK(B395),"",VLOOKUP(B395,formules!E:F,2,0))</f>
        <v/>
      </c>
      <c r="E395" s="1" t="str">
        <f t="shared" si="32"/>
        <v/>
      </c>
      <c r="F395" s="17" t="str">
        <f>IF(ISBLANK(B395),"",VLOOKUP(B395,formules!E:K,7,0))</f>
        <v/>
      </c>
      <c r="G395" s="17" t="str">
        <f>IF(ISBLANK(B395),"",VLOOKUP(B395,formules!E:L,8,0))</f>
        <v/>
      </c>
      <c r="H395" s="1" t="str">
        <f t="shared" si="33"/>
        <v/>
      </c>
      <c r="I395" s="1"/>
      <c r="J395" s="1" t="str">
        <f t="shared" si="34"/>
        <v/>
      </c>
    </row>
    <row r="396" spans="1:10" x14ac:dyDescent="0.2">
      <c r="A396" s="1" t="str">
        <f t="shared" si="30"/>
        <v/>
      </c>
      <c r="B396" s="1"/>
      <c r="C396" s="15" t="str">
        <f t="shared" ca="1" si="31"/>
        <v/>
      </c>
      <c r="D396" s="1" t="str">
        <f>IF(ISBLANK(B396),"",VLOOKUP(B396,formules!E:F,2,0))</f>
        <v/>
      </c>
      <c r="E396" s="1" t="str">
        <f t="shared" si="32"/>
        <v/>
      </c>
      <c r="F396" s="17" t="str">
        <f>IF(ISBLANK(B396),"",VLOOKUP(B396,formules!E:K,7,0))</f>
        <v/>
      </c>
      <c r="G396" s="17" t="str">
        <f>IF(ISBLANK(B396),"",VLOOKUP(B396,formules!E:L,8,0))</f>
        <v/>
      </c>
      <c r="H396" s="1" t="str">
        <f t="shared" si="33"/>
        <v/>
      </c>
      <c r="I396" s="1"/>
      <c r="J396" s="1" t="str">
        <f t="shared" si="34"/>
        <v/>
      </c>
    </row>
    <row r="397" spans="1:10" x14ac:dyDescent="0.2">
      <c r="A397" s="1" t="str">
        <f t="shared" si="30"/>
        <v/>
      </c>
      <c r="B397" s="1"/>
      <c r="C397" s="15" t="str">
        <f t="shared" ca="1" si="31"/>
        <v/>
      </c>
      <c r="D397" s="1" t="str">
        <f>IF(ISBLANK(B397),"",VLOOKUP(B397,formules!E:F,2,0))</f>
        <v/>
      </c>
      <c r="E397" s="1" t="str">
        <f t="shared" si="32"/>
        <v/>
      </c>
      <c r="F397" s="17" t="str">
        <f>IF(ISBLANK(B397),"",VLOOKUP(B397,formules!E:K,7,0))</f>
        <v/>
      </c>
      <c r="G397" s="17" t="str">
        <f>IF(ISBLANK(B397),"",VLOOKUP(B397,formules!E:L,8,0))</f>
        <v/>
      </c>
      <c r="H397" s="1" t="str">
        <f t="shared" si="33"/>
        <v/>
      </c>
      <c r="I397" s="1"/>
      <c r="J397" s="1" t="str">
        <f t="shared" si="34"/>
        <v/>
      </c>
    </row>
    <row r="398" spans="1:10" x14ac:dyDescent="0.2">
      <c r="A398" s="1" t="str">
        <f t="shared" si="30"/>
        <v/>
      </c>
      <c r="B398" s="1"/>
      <c r="C398" s="15" t="str">
        <f t="shared" ca="1" si="31"/>
        <v/>
      </c>
      <c r="D398" s="1" t="str">
        <f>IF(ISBLANK(B398),"",VLOOKUP(B398,formules!E:F,2,0))</f>
        <v/>
      </c>
      <c r="E398" s="1" t="str">
        <f t="shared" si="32"/>
        <v/>
      </c>
      <c r="F398" s="17" t="str">
        <f>IF(ISBLANK(B398),"",VLOOKUP(B398,formules!E:K,7,0))</f>
        <v/>
      </c>
      <c r="G398" s="17" t="str">
        <f>IF(ISBLANK(B398),"",VLOOKUP(B398,formules!E:L,8,0))</f>
        <v/>
      </c>
      <c r="H398" s="1" t="str">
        <f t="shared" si="33"/>
        <v/>
      </c>
      <c r="I398" s="1"/>
      <c r="J398" s="1" t="str">
        <f t="shared" si="34"/>
        <v/>
      </c>
    </row>
    <row r="399" spans="1:10" x14ac:dyDescent="0.2">
      <c r="A399" s="1" t="str">
        <f t="shared" si="30"/>
        <v/>
      </c>
      <c r="B399" s="1"/>
      <c r="C399" s="15" t="str">
        <f t="shared" ca="1" si="31"/>
        <v/>
      </c>
      <c r="D399" s="1" t="str">
        <f>IF(ISBLANK(B399),"",VLOOKUP(B399,formules!E:F,2,0))</f>
        <v/>
      </c>
      <c r="E399" s="1" t="str">
        <f t="shared" si="32"/>
        <v/>
      </c>
      <c r="F399" s="17" t="str">
        <f>IF(ISBLANK(B399),"",VLOOKUP(B399,formules!E:K,7,0))</f>
        <v/>
      </c>
      <c r="G399" s="17" t="str">
        <f>IF(ISBLANK(B399),"",VLOOKUP(B399,formules!E:L,8,0))</f>
        <v/>
      </c>
      <c r="H399" s="1" t="str">
        <f t="shared" si="33"/>
        <v/>
      </c>
      <c r="I399" s="1"/>
      <c r="J399" s="1" t="str">
        <f t="shared" si="34"/>
        <v/>
      </c>
    </row>
    <row r="400" spans="1:10" x14ac:dyDescent="0.2">
      <c r="A400" s="1" t="str">
        <f t="shared" si="30"/>
        <v/>
      </c>
      <c r="B400" s="1"/>
      <c r="C400" s="15" t="str">
        <f t="shared" ca="1" si="31"/>
        <v/>
      </c>
      <c r="D400" s="1" t="str">
        <f>IF(ISBLANK(B400),"",VLOOKUP(B400,formules!E:F,2,0))</f>
        <v/>
      </c>
      <c r="E400" s="1" t="str">
        <f t="shared" si="32"/>
        <v/>
      </c>
      <c r="F400" s="17" t="str">
        <f>IF(ISBLANK(B400),"",VLOOKUP(B400,formules!E:K,7,0))</f>
        <v/>
      </c>
      <c r="G400" s="17" t="str">
        <f>IF(ISBLANK(B400),"",VLOOKUP(B400,formules!E:L,8,0))</f>
        <v/>
      </c>
      <c r="H400" s="1" t="str">
        <f t="shared" si="33"/>
        <v/>
      </c>
      <c r="I400" s="1"/>
      <c r="J400" s="1" t="str">
        <f t="shared" si="34"/>
        <v/>
      </c>
    </row>
    <row r="401" spans="1:10" x14ac:dyDescent="0.2">
      <c r="A401" s="1" t="str">
        <f t="shared" si="30"/>
        <v/>
      </c>
      <c r="B401" s="1"/>
      <c r="C401" s="15" t="str">
        <f t="shared" ca="1" si="31"/>
        <v/>
      </c>
      <c r="D401" s="1" t="str">
        <f>IF(ISBLANK(B401),"",VLOOKUP(B401,formules!E:F,2,0))</f>
        <v/>
      </c>
      <c r="E401" s="1" t="str">
        <f t="shared" si="32"/>
        <v/>
      </c>
      <c r="F401" s="17" t="str">
        <f>IF(ISBLANK(B401),"",VLOOKUP(B401,formules!E:K,7,0))</f>
        <v/>
      </c>
      <c r="G401" s="17" t="str">
        <f>IF(ISBLANK(B401),"",VLOOKUP(B401,formules!E:L,8,0))</f>
        <v/>
      </c>
      <c r="H401" s="1" t="str">
        <f t="shared" si="33"/>
        <v/>
      </c>
      <c r="I401" s="1"/>
      <c r="J401" s="1" t="str">
        <f t="shared" si="34"/>
        <v/>
      </c>
    </row>
    <row r="402" spans="1:10" x14ac:dyDescent="0.2">
      <c r="A402" s="1" t="str">
        <f t="shared" si="30"/>
        <v/>
      </c>
      <c r="B402" s="1"/>
      <c r="C402" s="15" t="str">
        <f t="shared" ca="1" si="31"/>
        <v/>
      </c>
      <c r="D402" s="1" t="str">
        <f>IF(ISBLANK(B402),"",VLOOKUP(B402,formules!E:F,2,0))</f>
        <v/>
      </c>
      <c r="E402" s="1" t="str">
        <f t="shared" si="32"/>
        <v/>
      </c>
      <c r="F402" s="17" t="str">
        <f>IF(ISBLANK(B402),"",VLOOKUP(B402,formules!E:K,7,0))</f>
        <v/>
      </c>
      <c r="G402" s="17" t="str">
        <f>IF(ISBLANK(B402),"",VLOOKUP(B402,formules!E:L,8,0))</f>
        <v/>
      </c>
      <c r="H402" s="1" t="str">
        <f t="shared" si="33"/>
        <v/>
      </c>
      <c r="I402" s="1"/>
      <c r="J402" s="1" t="str">
        <f t="shared" si="34"/>
        <v/>
      </c>
    </row>
    <row r="403" spans="1:10" x14ac:dyDescent="0.2">
      <c r="A403" s="1" t="str">
        <f t="shared" si="30"/>
        <v/>
      </c>
      <c r="B403" s="1"/>
      <c r="C403" s="15" t="str">
        <f t="shared" ca="1" si="31"/>
        <v/>
      </c>
      <c r="D403" s="1" t="str">
        <f>IF(ISBLANK(B403),"",VLOOKUP(B403,formules!E:F,2,0))</f>
        <v/>
      </c>
      <c r="E403" s="1" t="str">
        <f t="shared" si="32"/>
        <v/>
      </c>
      <c r="F403" s="17" t="str">
        <f>IF(ISBLANK(B403),"",VLOOKUP(B403,formules!E:K,7,0))</f>
        <v/>
      </c>
      <c r="G403" s="17" t="str">
        <f>IF(ISBLANK(B403),"",VLOOKUP(B403,formules!E:L,8,0))</f>
        <v/>
      </c>
      <c r="H403" s="1" t="str">
        <f t="shared" si="33"/>
        <v/>
      </c>
      <c r="I403" s="1"/>
      <c r="J403" s="1" t="str">
        <f t="shared" si="34"/>
        <v/>
      </c>
    </row>
    <row r="404" spans="1:10" x14ac:dyDescent="0.2">
      <c r="A404" s="1" t="str">
        <f t="shared" si="30"/>
        <v/>
      </c>
      <c r="B404" s="1"/>
      <c r="C404" s="15" t="str">
        <f t="shared" ca="1" si="31"/>
        <v/>
      </c>
      <c r="D404" s="1" t="str">
        <f>IF(ISBLANK(B404),"",VLOOKUP(B404,formules!E:F,2,0))</f>
        <v/>
      </c>
      <c r="E404" s="1" t="str">
        <f t="shared" si="32"/>
        <v/>
      </c>
      <c r="F404" s="17" t="str">
        <f>IF(ISBLANK(B404),"",VLOOKUP(B404,formules!E:K,7,0))</f>
        <v/>
      </c>
      <c r="G404" s="17" t="str">
        <f>IF(ISBLANK(B404),"",VLOOKUP(B404,formules!E:L,8,0))</f>
        <v/>
      </c>
      <c r="H404" s="1" t="str">
        <f t="shared" si="33"/>
        <v/>
      </c>
      <c r="I404" s="1"/>
      <c r="J404" s="1" t="str">
        <f t="shared" si="34"/>
        <v/>
      </c>
    </row>
    <row r="405" spans="1:10" x14ac:dyDescent="0.2">
      <c r="A405" s="1" t="str">
        <f t="shared" si="30"/>
        <v/>
      </c>
      <c r="B405" s="1"/>
      <c r="C405" s="15" t="str">
        <f t="shared" ca="1" si="31"/>
        <v/>
      </c>
      <c r="D405" s="1" t="str">
        <f>IF(ISBLANK(B405),"",VLOOKUP(B405,formules!E:F,2,0))</f>
        <v/>
      </c>
      <c r="E405" s="1" t="str">
        <f t="shared" si="32"/>
        <v/>
      </c>
      <c r="F405" s="17" t="str">
        <f>IF(ISBLANK(B405),"",VLOOKUP(B405,formules!E:K,7,0))</f>
        <v/>
      </c>
      <c r="G405" s="17" t="str">
        <f>IF(ISBLANK(B405),"",VLOOKUP(B405,formules!E:L,8,0))</f>
        <v/>
      </c>
      <c r="H405" s="1" t="str">
        <f t="shared" si="33"/>
        <v/>
      </c>
      <c r="I405" s="1"/>
      <c r="J405" s="1" t="str">
        <f t="shared" si="34"/>
        <v/>
      </c>
    </row>
    <row r="406" spans="1:10" x14ac:dyDescent="0.2">
      <c r="A406" s="1" t="str">
        <f t="shared" si="30"/>
        <v/>
      </c>
      <c r="B406" s="1"/>
      <c r="C406" s="15" t="str">
        <f t="shared" ca="1" si="31"/>
        <v/>
      </c>
      <c r="D406" s="1" t="str">
        <f>IF(ISBLANK(B406),"",VLOOKUP(B406,formules!E:F,2,0))</f>
        <v/>
      </c>
      <c r="E406" s="1" t="str">
        <f t="shared" si="32"/>
        <v/>
      </c>
      <c r="F406" s="17" t="str">
        <f>IF(ISBLANK(B406),"",VLOOKUP(B406,formules!E:K,7,0))</f>
        <v/>
      </c>
      <c r="G406" s="17" t="str">
        <f>IF(ISBLANK(B406),"",VLOOKUP(B406,formules!E:L,8,0))</f>
        <v/>
      </c>
      <c r="H406" s="1" t="str">
        <f t="shared" si="33"/>
        <v/>
      </c>
      <c r="I406" s="1"/>
      <c r="J406" s="1" t="str">
        <f t="shared" si="34"/>
        <v/>
      </c>
    </row>
    <row r="407" spans="1:10" x14ac:dyDescent="0.2">
      <c r="A407" s="1" t="str">
        <f t="shared" si="30"/>
        <v/>
      </c>
      <c r="B407" s="1"/>
      <c r="C407" s="15" t="str">
        <f t="shared" ca="1" si="31"/>
        <v/>
      </c>
      <c r="D407" s="1" t="str">
        <f>IF(ISBLANK(B407),"",VLOOKUP(B407,formules!E:F,2,0))</f>
        <v/>
      </c>
      <c r="E407" s="1" t="str">
        <f t="shared" si="32"/>
        <v/>
      </c>
      <c r="F407" s="17" t="str">
        <f>IF(ISBLANK(B407),"",VLOOKUP(B407,formules!E:K,7,0))</f>
        <v/>
      </c>
      <c r="G407" s="17" t="str">
        <f>IF(ISBLANK(B407),"",VLOOKUP(B407,formules!E:L,8,0))</f>
        <v/>
      </c>
      <c r="H407" s="1" t="str">
        <f t="shared" si="33"/>
        <v/>
      </c>
      <c r="I407" s="1"/>
      <c r="J407" s="1" t="str">
        <f t="shared" si="34"/>
        <v/>
      </c>
    </row>
    <row r="408" spans="1:10" x14ac:dyDescent="0.2">
      <c r="A408" s="1" t="str">
        <f t="shared" si="30"/>
        <v/>
      </c>
      <c r="B408" s="1"/>
      <c r="C408" s="15" t="str">
        <f t="shared" ca="1" si="31"/>
        <v/>
      </c>
      <c r="D408" s="1" t="str">
        <f>IF(ISBLANK(B408),"",VLOOKUP(B408,formules!E:F,2,0))</f>
        <v/>
      </c>
      <c r="E408" s="1" t="str">
        <f t="shared" si="32"/>
        <v/>
      </c>
      <c r="F408" s="17" t="str">
        <f>IF(ISBLANK(B408),"",VLOOKUP(B408,formules!E:K,7,0))</f>
        <v/>
      </c>
      <c r="G408" s="17" t="str">
        <f>IF(ISBLANK(B408),"",VLOOKUP(B408,formules!E:L,8,0))</f>
        <v/>
      </c>
      <c r="H408" s="1" t="str">
        <f t="shared" si="33"/>
        <v/>
      </c>
      <c r="I408" s="1"/>
      <c r="J408" s="1" t="str">
        <f t="shared" si="34"/>
        <v/>
      </c>
    </row>
    <row r="409" spans="1:10" x14ac:dyDescent="0.2">
      <c r="A409" s="1" t="str">
        <f t="shared" si="30"/>
        <v/>
      </c>
      <c r="B409" s="1"/>
      <c r="C409" s="15" t="str">
        <f t="shared" ca="1" si="31"/>
        <v/>
      </c>
      <c r="D409" s="1" t="str">
        <f>IF(ISBLANK(B409),"",VLOOKUP(B409,formules!E:F,2,0))</f>
        <v/>
      </c>
      <c r="E409" s="1" t="str">
        <f t="shared" si="32"/>
        <v/>
      </c>
      <c r="F409" s="17" t="str">
        <f>IF(ISBLANK(B409),"",VLOOKUP(B409,formules!E:K,7,0))</f>
        <v/>
      </c>
      <c r="G409" s="17" t="str">
        <f>IF(ISBLANK(B409),"",VLOOKUP(B409,formules!E:L,8,0))</f>
        <v/>
      </c>
      <c r="H409" s="1" t="str">
        <f t="shared" si="33"/>
        <v/>
      </c>
      <c r="I409" s="1"/>
      <c r="J409" s="1" t="str">
        <f t="shared" si="34"/>
        <v/>
      </c>
    </row>
    <row r="410" spans="1:10" x14ac:dyDescent="0.2">
      <c r="A410" s="1" t="str">
        <f t="shared" si="30"/>
        <v/>
      </c>
      <c r="B410" s="1"/>
      <c r="C410" s="15" t="str">
        <f t="shared" ca="1" si="31"/>
        <v/>
      </c>
      <c r="D410" s="1" t="str">
        <f>IF(ISBLANK(B410),"",VLOOKUP(B410,formules!E:F,2,0))</f>
        <v/>
      </c>
      <c r="E410" s="1" t="str">
        <f t="shared" si="32"/>
        <v/>
      </c>
      <c r="F410" s="17" t="str">
        <f>IF(ISBLANK(B410),"",VLOOKUP(B410,formules!E:K,7,0))</f>
        <v/>
      </c>
      <c r="G410" s="17" t="str">
        <f>IF(ISBLANK(B410),"",VLOOKUP(B410,formules!E:L,8,0))</f>
        <v/>
      </c>
      <c r="H410" s="1" t="str">
        <f t="shared" si="33"/>
        <v/>
      </c>
      <c r="I410" s="1"/>
      <c r="J410" s="1" t="str">
        <f t="shared" si="34"/>
        <v/>
      </c>
    </row>
    <row r="411" spans="1:10" x14ac:dyDescent="0.2">
      <c r="A411" s="1" t="str">
        <f t="shared" si="30"/>
        <v/>
      </c>
      <c r="B411" s="1"/>
      <c r="C411" s="15" t="str">
        <f t="shared" ca="1" si="31"/>
        <v/>
      </c>
      <c r="D411" s="1" t="str">
        <f>IF(ISBLANK(B411),"",VLOOKUP(B411,formules!E:F,2,0))</f>
        <v/>
      </c>
      <c r="E411" s="1" t="str">
        <f t="shared" si="32"/>
        <v/>
      </c>
      <c r="F411" s="17" t="str">
        <f>IF(ISBLANK(B411),"",VLOOKUP(B411,formules!E:K,7,0))</f>
        <v/>
      </c>
      <c r="G411" s="17" t="str">
        <f>IF(ISBLANK(B411),"",VLOOKUP(B411,formules!E:L,8,0))</f>
        <v/>
      </c>
      <c r="H411" s="1" t="str">
        <f t="shared" si="33"/>
        <v/>
      </c>
      <c r="I411" s="1"/>
      <c r="J411" s="1" t="str">
        <f t="shared" si="34"/>
        <v/>
      </c>
    </row>
    <row r="412" spans="1:10" x14ac:dyDescent="0.2">
      <c r="A412" s="1" t="str">
        <f t="shared" si="30"/>
        <v/>
      </c>
      <c r="B412" s="1"/>
      <c r="C412" s="15" t="str">
        <f t="shared" ca="1" si="31"/>
        <v/>
      </c>
      <c r="D412" s="1" t="str">
        <f>IF(ISBLANK(B412),"",VLOOKUP(B412,formules!E:F,2,0))</f>
        <v/>
      </c>
      <c r="E412" s="1" t="str">
        <f t="shared" si="32"/>
        <v/>
      </c>
      <c r="F412" s="17" t="str">
        <f>IF(ISBLANK(B412),"",VLOOKUP(B412,formules!E:K,7,0))</f>
        <v/>
      </c>
      <c r="G412" s="17" t="str">
        <f>IF(ISBLANK(B412),"",VLOOKUP(B412,formules!E:L,8,0))</f>
        <v/>
      </c>
      <c r="H412" s="1" t="str">
        <f t="shared" si="33"/>
        <v/>
      </c>
      <c r="I412" s="1"/>
      <c r="J412" s="1" t="str">
        <f t="shared" si="34"/>
        <v/>
      </c>
    </row>
    <row r="413" spans="1:10" x14ac:dyDescent="0.2">
      <c r="A413" s="1" t="str">
        <f t="shared" si="30"/>
        <v/>
      </c>
      <c r="B413" s="1"/>
      <c r="C413" s="15" t="str">
        <f t="shared" ca="1" si="31"/>
        <v/>
      </c>
      <c r="D413" s="1" t="str">
        <f>IF(ISBLANK(B413),"",VLOOKUP(B413,formules!E:F,2,0))</f>
        <v/>
      </c>
      <c r="E413" s="1" t="str">
        <f t="shared" si="32"/>
        <v/>
      </c>
      <c r="F413" s="17" t="str">
        <f>IF(ISBLANK(B413),"",VLOOKUP(B413,formules!E:K,7,0))</f>
        <v/>
      </c>
      <c r="G413" s="17" t="str">
        <f>IF(ISBLANK(B413),"",VLOOKUP(B413,formules!E:L,8,0))</f>
        <v/>
      </c>
      <c r="H413" s="1" t="str">
        <f t="shared" si="33"/>
        <v/>
      </c>
      <c r="I413" s="1"/>
      <c r="J413" s="1" t="str">
        <f t="shared" si="34"/>
        <v/>
      </c>
    </row>
    <row r="414" spans="1:10" x14ac:dyDescent="0.2">
      <c r="A414" s="1" t="str">
        <f t="shared" si="30"/>
        <v/>
      </c>
      <c r="B414" s="1"/>
      <c r="C414" s="15" t="str">
        <f t="shared" ca="1" si="31"/>
        <v/>
      </c>
      <c r="D414" s="1" t="str">
        <f>IF(ISBLANK(B414),"",VLOOKUP(B414,formules!E:F,2,0))</f>
        <v/>
      </c>
      <c r="E414" s="1" t="str">
        <f t="shared" si="32"/>
        <v/>
      </c>
      <c r="F414" s="17" t="str">
        <f>IF(ISBLANK(B414),"",VLOOKUP(B414,formules!E:K,7,0))</f>
        <v/>
      </c>
      <c r="G414" s="17" t="str">
        <f>IF(ISBLANK(B414),"",VLOOKUP(B414,formules!E:L,8,0))</f>
        <v/>
      </c>
      <c r="H414" s="1" t="str">
        <f t="shared" si="33"/>
        <v/>
      </c>
      <c r="I414" s="1"/>
      <c r="J414" s="1" t="str">
        <f t="shared" si="34"/>
        <v/>
      </c>
    </row>
    <row r="415" spans="1:10" x14ac:dyDescent="0.2">
      <c r="A415" s="1" t="str">
        <f t="shared" si="30"/>
        <v/>
      </c>
      <c r="B415" s="1"/>
      <c r="C415" s="15" t="str">
        <f t="shared" ca="1" si="31"/>
        <v/>
      </c>
      <c r="D415" s="1" t="str">
        <f>IF(ISBLANK(B415),"",VLOOKUP(B415,formules!E:F,2,0))</f>
        <v/>
      </c>
      <c r="E415" s="1" t="str">
        <f t="shared" si="32"/>
        <v/>
      </c>
      <c r="F415" s="17" t="str">
        <f>IF(ISBLANK(B415),"",VLOOKUP(B415,formules!E:K,7,0))</f>
        <v/>
      </c>
      <c r="G415" s="17" t="str">
        <f>IF(ISBLANK(B415),"",VLOOKUP(B415,formules!E:L,8,0))</f>
        <v/>
      </c>
      <c r="H415" s="1" t="str">
        <f t="shared" si="33"/>
        <v/>
      </c>
      <c r="I415" s="1"/>
      <c r="J415" s="1" t="str">
        <f t="shared" si="34"/>
        <v/>
      </c>
    </row>
    <row r="416" spans="1:10" x14ac:dyDescent="0.2">
      <c r="A416" s="1" t="str">
        <f t="shared" si="30"/>
        <v/>
      </c>
      <c r="B416" s="1"/>
      <c r="C416" s="15" t="str">
        <f t="shared" ca="1" si="31"/>
        <v/>
      </c>
      <c r="D416" s="1" t="str">
        <f>IF(ISBLANK(B416),"",VLOOKUP(B416,formules!E:F,2,0))</f>
        <v/>
      </c>
      <c r="E416" s="1" t="str">
        <f t="shared" si="32"/>
        <v/>
      </c>
      <c r="F416" s="17" t="str">
        <f>IF(ISBLANK(B416),"",VLOOKUP(B416,formules!E:K,7,0))</f>
        <v/>
      </c>
      <c r="G416" s="17" t="str">
        <f>IF(ISBLANK(B416),"",VLOOKUP(B416,formules!E:L,8,0))</f>
        <v/>
      </c>
      <c r="H416" s="1" t="str">
        <f t="shared" si="33"/>
        <v/>
      </c>
      <c r="I416" s="1"/>
      <c r="J416" s="1" t="str">
        <f t="shared" si="34"/>
        <v/>
      </c>
    </row>
    <row r="417" spans="1:10" x14ac:dyDescent="0.2">
      <c r="A417" s="1" t="str">
        <f t="shared" si="30"/>
        <v/>
      </c>
      <c r="B417" s="1"/>
      <c r="C417" s="15" t="str">
        <f t="shared" ca="1" si="31"/>
        <v/>
      </c>
      <c r="D417" s="1" t="str">
        <f>IF(ISBLANK(B417),"",VLOOKUP(B417,formules!E:F,2,0))</f>
        <v/>
      </c>
      <c r="E417" s="1" t="str">
        <f t="shared" si="32"/>
        <v/>
      </c>
      <c r="F417" s="17" t="str">
        <f>IF(ISBLANK(B417),"",VLOOKUP(B417,formules!E:K,7,0))</f>
        <v/>
      </c>
      <c r="G417" s="17" t="str">
        <f>IF(ISBLANK(B417),"",VLOOKUP(B417,formules!E:L,8,0))</f>
        <v/>
      </c>
      <c r="H417" s="1" t="str">
        <f t="shared" si="33"/>
        <v/>
      </c>
      <c r="I417" s="1"/>
      <c r="J417" s="1" t="str">
        <f t="shared" si="34"/>
        <v/>
      </c>
    </row>
    <row r="418" spans="1:10" x14ac:dyDescent="0.2">
      <c r="A418" s="1" t="str">
        <f t="shared" si="30"/>
        <v/>
      </c>
      <c r="B418" s="1"/>
      <c r="C418" s="15" t="str">
        <f t="shared" ca="1" si="31"/>
        <v/>
      </c>
      <c r="D418" s="1" t="str">
        <f>IF(ISBLANK(B418),"",VLOOKUP(B418,formules!E:F,2,0))</f>
        <v/>
      </c>
      <c r="E418" s="1" t="str">
        <f t="shared" si="32"/>
        <v/>
      </c>
      <c r="F418" s="17" t="str">
        <f>IF(ISBLANK(B418),"",VLOOKUP(B418,formules!E:K,7,0))</f>
        <v/>
      </c>
      <c r="G418" s="17" t="str">
        <f>IF(ISBLANK(B418),"",VLOOKUP(B418,formules!E:L,8,0))</f>
        <v/>
      </c>
      <c r="H418" s="1" t="str">
        <f t="shared" si="33"/>
        <v/>
      </c>
      <c r="I418" s="1"/>
      <c r="J418" s="1" t="str">
        <f t="shared" si="34"/>
        <v/>
      </c>
    </row>
    <row r="419" spans="1:10" x14ac:dyDescent="0.2">
      <c r="A419" s="1" t="str">
        <f t="shared" si="30"/>
        <v/>
      </c>
      <c r="B419" s="1"/>
      <c r="C419" s="15" t="str">
        <f t="shared" ca="1" si="31"/>
        <v/>
      </c>
      <c r="D419" s="1" t="str">
        <f>IF(ISBLANK(B419),"",VLOOKUP(B419,formules!E:F,2,0))</f>
        <v/>
      </c>
      <c r="E419" s="1" t="str">
        <f t="shared" si="32"/>
        <v/>
      </c>
      <c r="F419" s="17" t="str">
        <f>IF(ISBLANK(B419),"",VLOOKUP(B419,formules!E:K,7,0))</f>
        <v/>
      </c>
      <c r="G419" s="17" t="str">
        <f>IF(ISBLANK(B419),"",VLOOKUP(B419,formules!E:L,8,0))</f>
        <v/>
      </c>
      <c r="H419" s="1" t="str">
        <f t="shared" si="33"/>
        <v/>
      </c>
      <c r="I419" s="1"/>
      <c r="J419" s="1" t="str">
        <f t="shared" si="34"/>
        <v/>
      </c>
    </row>
    <row r="420" spans="1:10" x14ac:dyDescent="0.2">
      <c r="A420" s="1" t="str">
        <f t="shared" si="30"/>
        <v/>
      </c>
      <c r="B420" s="1"/>
      <c r="C420" s="15" t="str">
        <f t="shared" ca="1" si="31"/>
        <v/>
      </c>
      <c r="D420" s="1" t="str">
        <f>IF(ISBLANK(B420),"",VLOOKUP(B420,formules!E:F,2,0))</f>
        <v/>
      </c>
      <c r="E420" s="1" t="str">
        <f t="shared" si="32"/>
        <v/>
      </c>
      <c r="F420" s="17" t="str">
        <f>IF(ISBLANK(B420),"",VLOOKUP(B420,formules!E:K,7,0))</f>
        <v/>
      </c>
      <c r="G420" s="17" t="str">
        <f>IF(ISBLANK(B420),"",VLOOKUP(B420,formules!E:L,8,0))</f>
        <v/>
      </c>
      <c r="H420" s="1" t="str">
        <f t="shared" si="33"/>
        <v/>
      </c>
      <c r="I420" s="1"/>
      <c r="J420" s="1" t="str">
        <f t="shared" si="34"/>
        <v/>
      </c>
    </row>
    <row r="421" spans="1:10" x14ac:dyDescent="0.2">
      <c r="A421" s="1" t="str">
        <f t="shared" si="30"/>
        <v/>
      </c>
      <c r="B421" s="1"/>
      <c r="C421" s="15" t="str">
        <f t="shared" ca="1" si="31"/>
        <v/>
      </c>
      <c r="D421" s="1" t="str">
        <f>IF(ISBLANK(B421),"",VLOOKUP(B421,formules!E:F,2,0))</f>
        <v/>
      </c>
      <c r="E421" s="1" t="str">
        <f t="shared" si="32"/>
        <v/>
      </c>
      <c r="F421" s="17" t="str">
        <f>IF(ISBLANK(B421),"",VLOOKUP(B421,formules!E:K,7,0))</f>
        <v/>
      </c>
      <c r="G421" s="17" t="str">
        <f>IF(ISBLANK(B421),"",VLOOKUP(B421,formules!E:L,8,0))</f>
        <v/>
      </c>
      <c r="H421" s="1" t="str">
        <f t="shared" si="33"/>
        <v/>
      </c>
      <c r="I421" s="1"/>
      <c r="J421" s="1" t="str">
        <f t="shared" si="34"/>
        <v/>
      </c>
    </row>
    <row r="422" spans="1:10" x14ac:dyDescent="0.2">
      <c r="A422" s="1" t="str">
        <f t="shared" si="30"/>
        <v/>
      </c>
      <c r="B422" s="1"/>
      <c r="C422" s="15" t="str">
        <f t="shared" ca="1" si="31"/>
        <v/>
      </c>
      <c r="D422" s="1" t="str">
        <f>IF(ISBLANK(B422),"",VLOOKUP(B422,formules!E:F,2,0))</f>
        <v/>
      </c>
      <c r="E422" s="1" t="str">
        <f t="shared" si="32"/>
        <v/>
      </c>
      <c r="F422" s="17" t="str">
        <f>IF(ISBLANK(B422),"",VLOOKUP(B422,formules!E:K,7,0))</f>
        <v/>
      </c>
      <c r="G422" s="17" t="str">
        <f>IF(ISBLANK(B422),"",VLOOKUP(B422,formules!E:L,8,0))</f>
        <v/>
      </c>
      <c r="H422" s="1" t="str">
        <f t="shared" si="33"/>
        <v/>
      </c>
      <c r="I422" s="1"/>
      <c r="J422" s="1" t="str">
        <f t="shared" si="34"/>
        <v/>
      </c>
    </row>
    <row r="423" spans="1:10" x14ac:dyDescent="0.2">
      <c r="A423" s="1" t="str">
        <f t="shared" si="30"/>
        <v/>
      </c>
      <c r="B423" s="1"/>
      <c r="C423" s="15" t="str">
        <f t="shared" ca="1" si="31"/>
        <v/>
      </c>
      <c r="D423" s="1" t="str">
        <f>IF(ISBLANK(B423),"",VLOOKUP(B423,formules!E:F,2,0))</f>
        <v/>
      </c>
      <c r="E423" s="1" t="str">
        <f t="shared" si="32"/>
        <v/>
      </c>
      <c r="F423" s="17" t="str">
        <f>IF(ISBLANK(B423),"",VLOOKUP(B423,formules!E:K,7,0))</f>
        <v/>
      </c>
      <c r="G423" s="17" t="str">
        <f>IF(ISBLANK(B423),"",VLOOKUP(B423,formules!E:L,8,0))</f>
        <v/>
      </c>
      <c r="H423" s="1" t="str">
        <f t="shared" si="33"/>
        <v/>
      </c>
      <c r="I423" s="1"/>
      <c r="J423" s="1" t="str">
        <f t="shared" si="34"/>
        <v/>
      </c>
    </row>
    <row r="424" spans="1:10" x14ac:dyDescent="0.2">
      <c r="A424" s="1" t="str">
        <f t="shared" si="30"/>
        <v/>
      </c>
      <c r="B424" s="1"/>
      <c r="C424" s="15" t="str">
        <f t="shared" ca="1" si="31"/>
        <v/>
      </c>
      <c r="D424" s="1" t="str">
        <f>IF(ISBLANK(B424),"",VLOOKUP(B424,formules!E:F,2,0))</f>
        <v/>
      </c>
      <c r="E424" s="1" t="str">
        <f t="shared" si="32"/>
        <v/>
      </c>
      <c r="F424" s="17" t="str">
        <f>IF(ISBLANK(B424),"",VLOOKUP(B424,formules!E:K,7,0))</f>
        <v/>
      </c>
      <c r="G424" s="17" t="str">
        <f>IF(ISBLANK(B424),"",VLOOKUP(B424,formules!E:L,8,0))</f>
        <v/>
      </c>
      <c r="H424" s="1" t="str">
        <f t="shared" si="33"/>
        <v/>
      </c>
      <c r="I424" s="1"/>
      <c r="J424" s="1" t="str">
        <f t="shared" si="34"/>
        <v/>
      </c>
    </row>
    <row r="425" spans="1:10" x14ac:dyDescent="0.2">
      <c r="A425" s="1" t="str">
        <f t="shared" si="30"/>
        <v/>
      </c>
      <c r="B425" s="1"/>
      <c r="C425" s="15" t="str">
        <f t="shared" ca="1" si="31"/>
        <v/>
      </c>
      <c r="D425" s="1" t="str">
        <f>IF(ISBLANK(B425),"",VLOOKUP(B425,formules!E:F,2,0))</f>
        <v/>
      </c>
      <c r="E425" s="1" t="str">
        <f t="shared" si="32"/>
        <v/>
      </c>
      <c r="F425" s="17" t="str">
        <f>IF(ISBLANK(B425),"",VLOOKUP(B425,formules!E:K,7,0))</f>
        <v/>
      </c>
      <c r="G425" s="17" t="str">
        <f>IF(ISBLANK(B425),"",VLOOKUP(B425,formules!E:L,8,0))</f>
        <v/>
      </c>
      <c r="H425" s="1" t="str">
        <f t="shared" si="33"/>
        <v/>
      </c>
      <c r="I425" s="1"/>
      <c r="J425" s="1" t="str">
        <f t="shared" si="34"/>
        <v/>
      </c>
    </row>
    <row r="426" spans="1:10" x14ac:dyDescent="0.2">
      <c r="A426" s="1" t="str">
        <f t="shared" si="30"/>
        <v/>
      </c>
      <c r="B426" s="1"/>
      <c r="C426" s="15" t="str">
        <f t="shared" ca="1" si="31"/>
        <v/>
      </c>
      <c r="D426" s="1" t="str">
        <f>IF(ISBLANK(B426),"",VLOOKUP(B426,formules!E:F,2,0))</f>
        <v/>
      </c>
      <c r="E426" s="1" t="str">
        <f t="shared" si="32"/>
        <v/>
      </c>
      <c r="F426" s="17" t="str">
        <f>IF(ISBLANK(B426),"",VLOOKUP(B426,formules!E:K,7,0))</f>
        <v/>
      </c>
      <c r="G426" s="17" t="str">
        <f>IF(ISBLANK(B426),"",VLOOKUP(B426,formules!E:L,8,0))</f>
        <v/>
      </c>
      <c r="H426" s="1" t="str">
        <f t="shared" si="33"/>
        <v/>
      </c>
      <c r="I426" s="1"/>
      <c r="J426" s="1" t="str">
        <f t="shared" si="34"/>
        <v/>
      </c>
    </row>
    <row r="427" spans="1:10" x14ac:dyDescent="0.2">
      <c r="A427" s="1" t="str">
        <f t="shared" si="30"/>
        <v/>
      </c>
      <c r="B427" s="1"/>
      <c r="C427" s="15" t="str">
        <f t="shared" ca="1" si="31"/>
        <v/>
      </c>
      <c r="D427" s="1" t="str">
        <f>IF(ISBLANK(B427),"",VLOOKUP(B427,formules!E:F,2,0))</f>
        <v/>
      </c>
      <c r="E427" s="1" t="str">
        <f t="shared" si="32"/>
        <v/>
      </c>
      <c r="F427" s="17" t="str">
        <f>IF(ISBLANK(B427),"",VLOOKUP(B427,formules!E:K,7,0))</f>
        <v/>
      </c>
      <c r="G427" s="17" t="str">
        <f>IF(ISBLANK(B427),"",VLOOKUP(B427,formules!E:L,8,0))</f>
        <v/>
      </c>
      <c r="H427" s="1" t="str">
        <f t="shared" si="33"/>
        <v/>
      </c>
      <c r="I427" s="1"/>
      <c r="J427" s="1" t="str">
        <f t="shared" si="34"/>
        <v/>
      </c>
    </row>
    <row r="428" spans="1:10" x14ac:dyDescent="0.2">
      <c r="A428" s="1" t="str">
        <f t="shared" si="30"/>
        <v/>
      </c>
      <c r="B428" s="1"/>
      <c r="C428" s="15" t="str">
        <f t="shared" ca="1" si="31"/>
        <v/>
      </c>
      <c r="D428" s="1" t="str">
        <f>IF(ISBLANK(B428),"",VLOOKUP(B428,formules!E:F,2,0))</f>
        <v/>
      </c>
      <c r="E428" s="1" t="str">
        <f t="shared" si="32"/>
        <v/>
      </c>
      <c r="F428" s="17" t="str">
        <f>IF(ISBLANK(B428),"",VLOOKUP(B428,formules!E:K,7,0))</f>
        <v/>
      </c>
      <c r="G428" s="17" t="str">
        <f>IF(ISBLANK(B428),"",VLOOKUP(B428,formules!E:L,8,0))</f>
        <v/>
      </c>
      <c r="H428" s="1" t="str">
        <f t="shared" si="33"/>
        <v/>
      </c>
      <c r="I428" s="1"/>
      <c r="J428" s="1" t="str">
        <f t="shared" si="34"/>
        <v/>
      </c>
    </row>
    <row r="429" spans="1:10" x14ac:dyDescent="0.2">
      <c r="A429" s="1" t="str">
        <f t="shared" si="30"/>
        <v/>
      </c>
      <c r="B429" s="1"/>
      <c r="C429" s="15" t="str">
        <f t="shared" ca="1" si="31"/>
        <v/>
      </c>
      <c r="D429" s="1" t="str">
        <f>IF(ISBLANK(B429),"",VLOOKUP(B429,formules!E:F,2,0))</f>
        <v/>
      </c>
      <c r="E429" s="1" t="str">
        <f t="shared" si="32"/>
        <v/>
      </c>
      <c r="F429" s="17" t="str">
        <f>IF(ISBLANK(B429),"",VLOOKUP(B429,formules!E:K,7,0))</f>
        <v/>
      </c>
      <c r="G429" s="17" t="str">
        <f>IF(ISBLANK(B429),"",VLOOKUP(B429,formules!E:L,8,0))</f>
        <v/>
      </c>
      <c r="H429" s="1" t="str">
        <f t="shared" si="33"/>
        <v/>
      </c>
      <c r="I429" s="1"/>
      <c r="J429" s="1" t="str">
        <f t="shared" si="34"/>
        <v/>
      </c>
    </row>
    <row r="430" spans="1:10" x14ac:dyDescent="0.2">
      <c r="A430" s="1" t="str">
        <f t="shared" si="30"/>
        <v/>
      </c>
      <c r="B430" s="1"/>
      <c r="C430" s="15" t="str">
        <f t="shared" ca="1" si="31"/>
        <v/>
      </c>
      <c r="D430" s="1" t="str">
        <f>IF(ISBLANK(B430),"",VLOOKUP(B430,formules!E:F,2,0))</f>
        <v/>
      </c>
      <c r="E430" s="1" t="str">
        <f t="shared" si="32"/>
        <v/>
      </c>
      <c r="F430" s="17" t="str">
        <f>IF(ISBLANK(B430),"",VLOOKUP(B430,formules!E:K,7,0))</f>
        <v/>
      </c>
      <c r="G430" s="17" t="str">
        <f>IF(ISBLANK(B430),"",VLOOKUP(B430,formules!E:L,8,0))</f>
        <v/>
      </c>
      <c r="H430" s="1" t="str">
        <f t="shared" si="33"/>
        <v/>
      </c>
      <c r="I430" s="1"/>
      <c r="J430" s="1" t="str">
        <f t="shared" si="34"/>
        <v/>
      </c>
    </row>
    <row r="431" spans="1:10" x14ac:dyDescent="0.2">
      <c r="A431" s="1" t="str">
        <f t="shared" si="30"/>
        <v/>
      </c>
      <c r="B431" s="1"/>
      <c r="C431" s="15" t="str">
        <f t="shared" ca="1" si="31"/>
        <v/>
      </c>
      <c r="D431" s="1" t="str">
        <f>IF(ISBLANK(B431),"",VLOOKUP(B431,formules!E:F,2,0))</f>
        <v/>
      </c>
      <c r="E431" s="1" t="str">
        <f t="shared" si="32"/>
        <v/>
      </c>
      <c r="F431" s="17" t="str">
        <f>IF(ISBLANK(B431),"",VLOOKUP(B431,formules!E:K,7,0))</f>
        <v/>
      </c>
      <c r="G431" s="17" t="str">
        <f>IF(ISBLANK(B431),"",VLOOKUP(B431,formules!E:L,8,0))</f>
        <v/>
      </c>
      <c r="H431" s="1" t="str">
        <f t="shared" si="33"/>
        <v/>
      </c>
      <c r="I431" s="1"/>
      <c r="J431" s="1" t="str">
        <f t="shared" si="34"/>
        <v/>
      </c>
    </row>
    <row r="432" spans="1:10" x14ac:dyDescent="0.2">
      <c r="A432" s="1" t="str">
        <f t="shared" si="30"/>
        <v/>
      </c>
      <c r="B432" s="1"/>
      <c r="C432" s="15" t="str">
        <f t="shared" ca="1" si="31"/>
        <v/>
      </c>
      <c r="D432" s="1" t="str">
        <f>IF(ISBLANK(B432),"",VLOOKUP(B432,formules!E:F,2,0))</f>
        <v/>
      </c>
      <c r="E432" s="1" t="str">
        <f t="shared" si="32"/>
        <v/>
      </c>
      <c r="F432" s="17" t="str">
        <f>IF(ISBLANK(B432),"",VLOOKUP(B432,formules!E:K,7,0))</f>
        <v/>
      </c>
      <c r="G432" s="17" t="str">
        <f>IF(ISBLANK(B432),"",VLOOKUP(B432,formules!E:L,8,0))</f>
        <v/>
      </c>
      <c r="H432" s="1" t="str">
        <f t="shared" si="33"/>
        <v/>
      </c>
      <c r="I432" s="1"/>
      <c r="J432" s="1" t="str">
        <f t="shared" si="34"/>
        <v/>
      </c>
    </row>
    <row r="433" spans="1:10" x14ac:dyDescent="0.2">
      <c r="A433" s="1" t="str">
        <f t="shared" si="30"/>
        <v/>
      </c>
      <c r="B433" s="1"/>
      <c r="C433" s="15" t="str">
        <f t="shared" ca="1" si="31"/>
        <v/>
      </c>
      <c r="D433" s="1" t="str">
        <f>IF(ISBLANK(B433),"",VLOOKUP(B433,formules!E:F,2,0))</f>
        <v/>
      </c>
      <c r="E433" s="1" t="str">
        <f t="shared" si="32"/>
        <v/>
      </c>
      <c r="F433" s="17" t="str">
        <f>IF(ISBLANK(B433),"",VLOOKUP(B433,formules!E:K,7,0))</f>
        <v/>
      </c>
      <c r="G433" s="17" t="str">
        <f>IF(ISBLANK(B433),"",VLOOKUP(B433,formules!E:L,8,0))</f>
        <v/>
      </c>
      <c r="H433" s="1" t="str">
        <f t="shared" si="33"/>
        <v/>
      </c>
      <c r="I433" s="1"/>
      <c r="J433" s="1" t="str">
        <f t="shared" si="34"/>
        <v/>
      </c>
    </row>
    <row r="434" spans="1:10" x14ac:dyDescent="0.2">
      <c r="A434" s="1" t="str">
        <f t="shared" si="30"/>
        <v/>
      </c>
      <c r="B434" s="1"/>
      <c r="C434" s="15" t="str">
        <f t="shared" ca="1" si="31"/>
        <v/>
      </c>
      <c r="D434" s="1" t="str">
        <f>IF(ISBLANK(B434),"",VLOOKUP(B434,formules!E:F,2,0))</f>
        <v/>
      </c>
      <c r="E434" s="1" t="str">
        <f t="shared" si="32"/>
        <v/>
      </c>
      <c r="F434" s="17" t="str">
        <f>IF(ISBLANK(B434),"",VLOOKUP(B434,formules!E:K,7,0))</f>
        <v/>
      </c>
      <c r="G434" s="17" t="str">
        <f>IF(ISBLANK(B434),"",VLOOKUP(B434,formules!E:L,8,0))</f>
        <v/>
      </c>
      <c r="H434" s="1" t="str">
        <f t="shared" si="33"/>
        <v/>
      </c>
      <c r="I434" s="1"/>
      <c r="J434" s="1" t="str">
        <f t="shared" si="34"/>
        <v/>
      </c>
    </row>
    <row r="435" spans="1:10" x14ac:dyDescent="0.2">
      <c r="A435" s="1" t="str">
        <f t="shared" si="30"/>
        <v/>
      </c>
      <c r="B435" s="1"/>
      <c r="C435" s="15" t="str">
        <f t="shared" ca="1" si="31"/>
        <v/>
      </c>
      <c r="D435" s="1" t="str">
        <f>IF(ISBLANK(B435),"",VLOOKUP(B435,formules!E:F,2,0))</f>
        <v/>
      </c>
      <c r="E435" s="1" t="str">
        <f t="shared" si="32"/>
        <v/>
      </c>
      <c r="F435" s="17" t="str">
        <f>IF(ISBLANK(B435),"",VLOOKUP(B435,formules!E:K,7,0))</f>
        <v/>
      </c>
      <c r="G435" s="17" t="str">
        <f>IF(ISBLANK(B435),"",VLOOKUP(B435,formules!E:L,8,0))</f>
        <v/>
      </c>
      <c r="H435" s="1" t="str">
        <f t="shared" si="33"/>
        <v/>
      </c>
      <c r="I435" s="1"/>
      <c r="J435" s="1" t="str">
        <f t="shared" si="34"/>
        <v/>
      </c>
    </row>
    <row r="436" spans="1:10" x14ac:dyDescent="0.2">
      <c r="A436" s="1" t="str">
        <f t="shared" si="30"/>
        <v/>
      </c>
      <c r="B436" s="1"/>
      <c r="C436" s="15" t="str">
        <f t="shared" ca="1" si="31"/>
        <v/>
      </c>
      <c r="D436" s="1" t="str">
        <f>IF(ISBLANK(B436),"",VLOOKUP(B436,formules!E:F,2,0))</f>
        <v/>
      </c>
      <c r="E436" s="1" t="str">
        <f t="shared" si="32"/>
        <v/>
      </c>
      <c r="F436" s="17" t="str">
        <f>IF(ISBLANK(B436),"",VLOOKUP(B436,formules!E:K,7,0))</f>
        <v/>
      </c>
      <c r="G436" s="17" t="str">
        <f>IF(ISBLANK(B436),"",VLOOKUP(B436,formules!E:L,8,0))</f>
        <v/>
      </c>
      <c r="H436" s="1" t="str">
        <f t="shared" si="33"/>
        <v/>
      </c>
      <c r="I436" s="1"/>
      <c r="J436" s="1" t="str">
        <f t="shared" si="34"/>
        <v/>
      </c>
    </row>
    <row r="437" spans="1:10" x14ac:dyDescent="0.2">
      <c r="A437" s="1" t="str">
        <f t="shared" si="30"/>
        <v/>
      </c>
      <c r="B437" s="1"/>
      <c r="C437" s="15" t="str">
        <f t="shared" ca="1" si="31"/>
        <v/>
      </c>
      <c r="D437" s="1" t="str">
        <f>IF(ISBLANK(B437),"",VLOOKUP(B437,formules!E:F,2,0))</f>
        <v/>
      </c>
      <c r="E437" s="1" t="str">
        <f t="shared" si="32"/>
        <v/>
      </c>
      <c r="F437" s="17" t="str">
        <f>IF(ISBLANK(B437),"",VLOOKUP(B437,formules!E:K,7,0))</f>
        <v/>
      </c>
      <c r="G437" s="17" t="str">
        <f>IF(ISBLANK(B437),"",VLOOKUP(B437,formules!E:L,8,0))</f>
        <v/>
      </c>
      <c r="H437" s="1" t="str">
        <f t="shared" si="33"/>
        <v/>
      </c>
      <c r="I437" s="1"/>
      <c r="J437" s="1" t="str">
        <f t="shared" si="34"/>
        <v/>
      </c>
    </row>
    <row r="438" spans="1:10" x14ac:dyDescent="0.2">
      <c r="A438" s="1" t="str">
        <f t="shared" si="30"/>
        <v/>
      </c>
      <c r="B438" s="1"/>
      <c r="C438" s="15" t="str">
        <f t="shared" ca="1" si="31"/>
        <v/>
      </c>
      <c r="D438" s="1" t="str">
        <f>IF(ISBLANK(B438),"",VLOOKUP(B438,formules!E:F,2,0))</f>
        <v/>
      </c>
      <c r="E438" s="1" t="str">
        <f t="shared" si="32"/>
        <v/>
      </c>
      <c r="F438" s="17" t="str">
        <f>IF(ISBLANK(B438),"",VLOOKUP(B438,formules!E:K,7,0))</f>
        <v/>
      </c>
      <c r="G438" s="17" t="str">
        <f>IF(ISBLANK(B438),"",VLOOKUP(B438,formules!E:L,8,0))</f>
        <v/>
      </c>
      <c r="H438" s="1" t="str">
        <f t="shared" si="33"/>
        <v/>
      </c>
      <c r="I438" s="1"/>
      <c r="J438" s="1" t="str">
        <f t="shared" si="34"/>
        <v/>
      </c>
    </row>
    <row r="439" spans="1:10" x14ac:dyDescent="0.2">
      <c r="A439" s="1" t="str">
        <f t="shared" si="30"/>
        <v/>
      </c>
      <c r="B439" s="1"/>
      <c r="C439" s="15" t="str">
        <f t="shared" ca="1" si="31"/>
        <v/>
      </c>
      <c r="D439" s="1" t="str">
        <f>IF(ISBLANK(B439),"",VLOOKUP(B439,formules!E:F,2,0))</f>
        <v/>
      </c>
      <c r="E439" s="1" t="str">
        <f t="shared" si="32"/>
        <v/>
      </c>
      <c r="F439" s="17" t="str">
        <f>IF(ISBLANK(B439),"",VLOOKUP(B439,formules!E:K,7,0))</f>
        <v/>
      </c>
      <c r="G439" s="17" t="str">
        <f>IF(ISBLANK(B439),"",VLOOKUP(B439,formules!E:L,8,0))</f>
        <v/>
      </c>
      <c r="H439" s="1" t="str">
        <f t="shared" si="33"/>
        <v/>
      </c>
      <c r="I439" s="1"/>
      <c r="J439" s="1" t="str">
        <f t="shared" si="34"/>
        <v/>
      </c>
    </row>
    <row r="440" spans="1:10" x14ac:dyDescent="0.2">
      <c r="A440" s="1" t="str">
        <f t="shared" si="30"/>
        <v/>
      </c>
      <c r="B440" s="1"/>
      <c r="C440" s="15" t="str">
        <f t="shared" ca="1" si="31"/>
        <v/>
      </c>
      <c r="D440" s="1" t="str">
        <f>IF(ISBLANK(B440),"",VLOOKUP(B440,formules!E:F,2,0))</f>
        <v/>
      </c>
      <c r="E440" s="1" t="str">
        <f t="shared" si="32"/>
        <v/>
      </c>
      <c r="F440" s="17" t="str">
        <f>IF(ISBLANK(B440),"",VLOOKUP(B440,formules!E:K,7,0))</f>
        <v/>
      </c>
      <c r="G440" s="17" t="str">
        <f>IF(ISBLANK(B440),"",VLOOKUP(B440,formules!E:L,8,0))</f>
        <v/>
      </c>
      <c r="H440" s="1" t="str">
        <f t="shared" si="33"/>
        <v/>
      </c>
      <c r="I440" s="1"/>
      <c r="J440" s="1" t="str">
        <f t="shared" si="34"/>
        <v/>
      </c>
    </row>
    <row r="441" spans="1:10" x14ac:dyDescent="0.2">
      <c r="A441" s="1" t="str">
        <f t="shared" si="30"/>
        <v/>
      </c>
      <c r="B441" s="1"/>
      <c r="C441" s="15" t="str">
        <f t="shared" ca="1" si="31"/>
        <v/>
      </c>
      <c r="D441" s="1" t="str">
        <f>IF(ISBLANK(B441),"",VLOOKUP(B441,formules!E:F,2,0))</f>
        <v/>
      </c>
      <c r="E441" s="1" t="str">
        <f t="shared" si="32"/>
        <v/>
      </c>
      <c r="F441" s="17" t="str">
        <f>IF(ISBLANK(B441),"",VLOOKUP(B441,formules!E:K,7,0))</f>
        <v/>
      </c>
      <c r="G441" s="17" t="str">
        <f>IF(ISBLANK(B441),"",VLOOKUP(B441,formules!E:L,8,0))</f>
        <v/>
      </c>
      <c r="H441" s="1" t="str">
        <f t="shared" si="33"/>
        <v/>
      </c>
      <c r="I441" s="1"/>
      <c r="J441" s="1" t="str">
        <f t="shared" si="34"/>
        <v/>
      </c>
    </row>
    <row r="442" spans="1:10" x14ac:dyDescent="0.2">
      <c r="A442" s="1" t="str">
        <f t="shared" si="30"/>
        <v/>
      </c>
      <c r="B442" s="1"/>
      <c r="C442" s="15" t="str">
        <f t="shared" ca="1" si="31"/>
        <v/>
      </c>
      <c r="D442" s="1" t="str">
        <f>IF(ISBLANK(B442),"",VLOOKUP(B442,formules!E:F,2,0))</f>
        <v/>
      </c>
      <c r="E442" s="1" t="str">
        <f t="shared" si="32"/>
        <v/>
      </c>
      <c r="F442" s="17" t="str">
        <f>IF(ISBLANK(B442),"",VLOOKUP(B442,formules!E:K,7,0))</f>
        <v/>
      </c>
      <c r="G442" s="17" t="str">
        <f>IF(ISBLANK(B442),"",VLOOKUP(B442,formules!E:L,8,0))</f>
        <v/>
      </c>
      <c r="H442" s="1" t="str">
        <f t="shared" si="33"/>
        <v/>
      </c>
      <c r="I442" s="1"/>
      <c r="J442" s="1" t="str">
        <f t="shared" si="34"/>
        <v/>
      </c>
    </row>
    <row r="443" spans="1:10" x14ac:dyDescent="0.2">
      <c r="A443" s="1" t="str">
        <f t="shared" si="30"/>
        <v/>
      </c>
      <c r="B443" s="1"/>
      <c r="C443" s="15" t="str">
        <f t="shared" ca="1" si="31"/>
        <v/>
      </c>
      <c r="D443" s="1" t="str">
        <f>IF(ISBLANK(B443),"",VLOOKUP(B443,formules!E:F,2,0))</f>
        <v/>
      </c>
      <c r="E443" s="1" t="str">
        <f t="shared" si="32"/>
        <v/>
      </c>
      <c r="F443" s="17" t="str">
        <f>IF(ISBLANK(B443),"",VLOOKUP(B443,formules!E:K,7,0))</f>
        <v/>
      </c>
      <c r="G443" s="17" t="str">
        <f>IF(ISBLANK(B443),"",VLOOKUP(B443,formules!E:L,8,0))</f>
        <v/>
      </c>
      <c r="H443" s="1" t="str">
        <f t="shared" si="33"/>
        <v/>
      </c>
      <c r="I443" s="1"/>
      <c r="J443" s="1" t="str">
        <f t="shared" si="34"/>
        <v/>
      </c>
    </row>
    <row r="444" spans="1:10" x14ac:dyDescent="0.2">
      <c r="A444" s="1" t="str">
        <f t="shared" si="30"/>
        <v/>
      </c>
      <c r="B444" s="1"/>
      <c r="C444" s="15" t="str">
        <f t="shared" ca="1" si="31"/>
        <v/>
      </c>
      <c r="D444" s="1" t="str">
        <f>IF(ISBLANK(B444),"",VLOOKUP(B444,formules!E:F,2,0))</f>
        <v/>
      </c>
      <c r="E444" s="1" t="str">
        <f t="shared" si="32"/>
        <v/>
      </c>
      <c r="F444" s="17" t="str">
        <f>IF(ISBLANK(B444),"",VLOOKUP(B444,formules!E:K,7,0))</f>
        <v/>
      </c>
      <c r="G444" s="17" t="str">
        <f>IF(ISBLANK(B444),"",VLOOKUP(B444,formules!E:L,8,0))</f>
        <v/>
      </c>
      <c r="H444" s="1" t="str">
        <f t="shared" si="33"/>
        <v/>
      </c>
      <c r="I444" s="1"/>
      <c r="J444" s="1" t="str">
        <f t="shared" si="34"/>
        <v/>
      </c>
    </row>
    <row r="445" spans="1:10" x14ac:dyDescent="0.2">
      <c r="A445" s="1" t="str">
        <f t="shared" si="30"/>
        <v/>
      </c>
      <c r="B445" s="1"/>
      <c r="C445" s="15" t="str">
        <f t="shared" ca="1" si="31"/>
        <v/>
      </c>
      <c r="D445" s="1" t="str">
        <f>IF(ISBLANK(B445),"",VLOOKUP(B445,formules!E:F,2,0))</f>
        <v/>
      </c>
      <c r="E445" s="1" t="str">
        <f t="shared" si="32"/>
        <v/>
      </c>
      <c r="F445" s="17" t="str">
        <f>IF(ISBLANK(B445),"",VLOOKUP(B445,formules!E:K,7,0))</f>
        <v/>
      </c>
      <c r="G445" s="17" t="str">
        <f>IF(ISBLANK(B445),"",VLOOKUP(B445,formules!E:L,8,0))</f>
        <v/>
      </c>
      <c r="H445" s="1" t="str">
        <f t="shared" si="33"/>
        <v/>
      </c>
      <c r="I445" s="1"/>
      <c r="J445" s="1" t="str">
        <f t="shared" si="34"/>
        <v/>
      </c>
    </row>
    <row r="446" spans="1:10" x14ac:dyDescent="0.2">
      <c r="A446" s="1" t="str">
        <f t="shared" si="30"/>
        <v/>
      </c>
      <c r="B446" s="1"/>
      <c r="C446" s="15" t="str">
        <f t="shared" ca="1" si="31"/>
        <v/>
      </c>
      <c r="D446" s="1" t="str">
        <f>IF(ISBLANK(B446),"",VLOOKUP(B446,formules!E:F,2,0))</f>
        <v/>
      </c>
      <c r="E446" s="1" t="str">
        <f t="shared" si="32"/>
        <v/>
      </c>
      <c r="F446" s="17" t="str">
        <f>IF(ISBLANK(B446),"",VLOOKUP(B446,formules!E:K,7,0))</f>
        <v/>
      </c>
      <c r="G446" s="17" t="str">
        <f>IF(ISBLANK(B446),"",VLOOKUP(B446,formules!E:L,8,0))</f>
        <v/>
      </c>
      <c r="H446" s="1" t="str">
        <f t="shared" si="33"/>
        <v/>
      </c>
      <c r="I446" s="1"/>
      <c r="J446" s="1" t="str">
        <f t="shared" si="34"/>
        <v/>
      </c>
    </row>
    <row r="447" spans="1:10" x14ac:dyDescent="0.2">
      <c r="A447" s="1" t="str">
        <f t="shared" si="30"/>
        <v/>
      </c>
      <c r="B447" s="1"/>
      <c r="C447" s="15" t="str">
        <f t="shared" ca="1" si="31"/>
        <v/>
      </c>
      <c r="D447" s="1" t="str">
        <f>IF(ISBLANK(B447),"",VLOOKUP(B447,formules!E:F,2,0))</f>
        <v/>
      </c>
      <c r="E447" s="1" t="str">
        <f t="shared" si="32"/>
        <v/>
      </c>
      <c r="F447" s="17" t="str">
        <f>IF(ISBLANK(B447),"",VLOOKUP(B447,formules!E:K,7,0))</f>
        <v/>
      </c>
      <c r="G447" s="17" t="str">
        <f>IF(ISBLANK(B447),"",VLOOKUP(B447,formules!E:L,8,0))</f>
        <v/>
      </c>
      <c r="H447" s="1" t="str">
        <f t="shared" si="33"/>
        <v/>
      </c>
      <c r="I447" s="1"/>
      <c r="J447" s="1" t="str">
        <f t="shared" si="34"/>
        <v/>
      </c>
    </row>
    <row r="448" spans="1:10" x14ac:dyDescent="0.2">
      <c r="A448" s="1" t="str">
        <f t="shared" si="30"/>
        <v/>
      </c>
      <c r="B448" s="1"/>
      <c r="C448" s="15" t="str">
        <f t="shared" ca="1" si="31"/>
        <v/>
      </c>
      <c r="D448" s="1" t="str">
        <f>IF(ISBLANK(B448),"",VLOOKUP(B448,formules!E:F,2,0))</f>
        <v/>
      </c>
      <c r="E448" s="1" t="str">
        <f t="shared" si="32"/>
        <v/>
      </c>
      <c r="F448" s="17" t="str">
        <f>IF(ISBLANK(B448),"",VLOOKUP(B448,formules!E:K,7,0))</f>
        <v/>
      </c>
      <c r="G448" s="17" t="str">
        <f>IF(ISBLANK(B448),"",VLOOKUP(B448,formules!E:L,8,0))</f>
        <v/>
      </c>
      <c r="H448" s="1" t="str">
        <f t="shared" si="33"/>
        <v/>
      </c>
      <c r="I448" s="1"/>
      <c r="J448" s="1" t="str">
        <f t="shared" si="34"/>
        <v/>
      </c>
    </row>
    <row r="449" spans="1:10" x14ac:dyDescent="0.2">
      <c r="A449" s="1" t="str">
        <f t="shared" si="30"/>
        <v/>
      </c>
      <c r="B449" s="1"/>
      <c r="C449" s="15" t="str">
        <f t="shared" ca="1" si="31"/>
        <v/>
      </c>
      <c r="D449" s="1" t="str">
        <f>IF(ISBLANK(B449),"",VLOOKUP(B449,formules!E:F,2,0))</f>
        <v/>
      </c>
      <c r="E449" s="1" t="str">
        <f t="shared" si="32"/>
        <v/>
      </c>
      <c r="F449" s="17" t="str">
        <f>IF(ISBLANK(B449),"",VLOOKUP(B449,formules!E:K,7,0))</f>
        <v/>
      </c>
      <c r="G449" s="17" t="str">
        <f>IF(ISBLANK(B449),"",VLOOKUP(B449,formules!E:L,8,0))</f>
        <v/>
      </c>
      <c r="H449" s="1" t="str">
        <f t="shared" si="33"/>
        <v/>
      </c>
      <c r="I449" s="1"/>
      <c r="J449" s="1" t="str">
        <f t="shared" si="34"/>
        <v/>
      </c>
    </row>
    <row r="450" spans="1:10" x14ac:dyDescent="0.2">
      <c r="A450" s="1" t="str">
        <f t="shared" si="30"/>
        <v/>
      </c>
      <c r="B450" s="1"/>
      <c r="C450" s="15" t="str">
        <f t="shared" ca="1" si="31"/>
        <v/>
      </c>
      <c r="D450" s="1" t="str">
        <f>IF(ISBLANK(B450),"",VLOOKUP(B450,formules!E:F,2,0))</f>
        <v/>
      </c>
      <c r="E450" s="1" t="str">
        <f t="shared" si="32"/>
        <v/>
      </c>
      <c r="F450" s="17" t="str">
        <f>IF(ISBLANK(B450),"",VLOOKUP(B450,formules!E:K,7,0))</f>
        <v/>
      </c>
      <c r="G450" s="17" t="str">
        <f>IF(ISBLANK(B450),"",VLOOKUP(B450,formules!E:L,8,0))</f>
        <v/>
      </c>
      <c r="H450" s="1" t="str">
        <f t="shared" si="33"/>
        <v/>
      </c>
      <c r="I450" s="1"/>
      <c r="J450" s="1" t="str">
        <f t="shared" si="34"/>
        <v/>
      </c>
    </row>
    <row r="451" spans="1:10" x14ac:dyDescent="0.2">
      <c r="A451" s="1" t="str">
        <f t="shared" ref="A451:A514" si="35">IF(ISBLANK(B451),"","variation")</f>
        <v/>
      </c>
      <c r="B451" s="1"/>
      <c r="C451" s="15" t="str">
        <f t="shared" ref="C451:C514" ca="1" si="36">IF(ISBLANK(B451),"",RANDBETWEEN(1111111111111,9999999999999))</f>
        <v/>
      </c>
      <c r="D451" s="1" t="str">
        <f>IF(ISBLANK(B451),"",VLOOKUP(B451,formules!E:F,2,0))</f>
        <v/>
      </c>
      <c r="E451" s="1" t="str">
        <f t="shared" ref="E451:E514" si="37">IF(ISBLANK(B451),"",1)</f>
        <v/>
      </c>
      <c r="F451" s="17" t="str">
        <f>IF(ISBLANK(B451),"",VLOOKUP(B451,formules!E:K,7,0))</f>
        <v/>
      </c>
      <c r="G451" s="17" t="str">
        <f>IF(ISBLANK(B451),"",VLOOKUP(B451,formules!E:L,8,0))</f>
        <v/>
      </c>
      <c r="H451" s="1" t="str">
        <f t="shared" ref="H451:H514" si="38">IF(ISBLANK(B451),"","Size")</f>
        <v/>
      </c>
      <c r="I451" s="1"/>
      <c r="J451" s="1" t="str">
        <f t="shared" ref="J451:J514" si="39">IF(ISBLANK(B451),"",1)</f>
        <v/>
      </c>
    </row>
    <row r="452" spans="1:10" x14ac:dyDescent="0.2">
      <c r="A452" s="1" t="str">
        <f t="shared" si="35"/>
        <v/>
      </c>
      <c r="B452" s="1"/>
      <c r="C452" s="15" t="str">
        <f t="shared" ca="1" si="36"/>
        <v/>
      </c>
      <c r="D452" s="1" t="str">
        <f>IF(ISBLANK(B452),"",VLOOKUP(B452,formules!E:F,2,0))</f>
        <v/>
      </c>
      <c r="E452" s="1" t="str">
        <f t="shared" si="37"/>
        <v/>
      </c>
      <c r="F452" s="17" t="str">
        <f>IF(ISBLANK(B452),"",VLOOKUP(B452,formules!E:K,7,0))</f>
        <v/>
      </c>
      <c r="G452" s="17" t="str">
        <f>IF(ISBLANK(B452),"",VLOOKUP(B452,formules!E:L,8,0))</f>
        <v/>
      </c>
      <c r="H452" s="1" t="str">
        <f t="shared" si="38"/>
        <v/>
      </c>
      <c r="I452" s="1"/>
      <c r="J452" s="1" t="str">
        <f t="shared" si="39"/>
        <v/>
      </c>
    </row>
    <row r="453" spans="1:10" x14ac:dyDescent="0.2">
      <c r="A453" s="1" t="str">
        <f t="shared" si="35"/>
        <v/>
      </c>
      <c r="B453" s="1"/>
      <c r="C453" s="15" t="str">
        <f t="shared" ca="1" si="36"/>
        <v/>
      </c>
      <c r="D453" s="1" t="str">
        <f>IF(ISBLANK(B453),"",VLOOKUP(B453,formules!E:F,2,0))</f>
        <v/>
      </c>
      <c r="E453" s="1" t="str">
        <f t="shared" si="37"/>
        <v/>
      </c>
      <c r="F453" s="17" t="str">
        <f>IF(ISBLANK(B453),"",VLOOKUP(B453,formules!E:K,7,0))</f>
        <v/>
      </c>
      <c r="G453" s="17" t="str">
        <f>IF(ISBLANK(B453),"",VLOOKUP(B453,formules!E:L,8,0))</f>
        <v/>
      </c>
      <c r="H453" s="1" t="str">
        <f t="shared" si="38"/>
        <v/>
      </c>
      <c r="I453" s="1"/>
      <c r="J453" s="1" t="str">
        <f t="shared" si="39"/>
        <v/>
      </c>
    </row>
    <row r="454" spans="1:10" x14ac:dyDescent="0.2">
      <c r="A454" s="1" t="str">
        <f t="shared" si="35"/>
        <v/>
      </c>
      <c r="B454" s="1"/>
      <c r="C454" s="15" t="str">
        <f t="shared" ca="1" si="36"/>
        <v/>
      </c>
      <c r="D454" s="1" t="str">
        <f>IF(ISBLANK(B454),"",VLOOKUP(B454,formules!E:F,2,0))</f>
        <v/>
      </c>
      <c r="E454" s="1" t="str">
        <f t="shared" si="37"/>
        <v/>
      </c>
      <c r="F454" s="17" t="str">
        <f>IF(ISBLANK(B454),"",VLOOKUP(B454,formules!E:K,7,0))</f>
        <v/>
      </c>
      <c r="G454" s="17" t="str">
        <f>IF(ISBLANK(B454),"",VLOOKUP(B454,formules!E:L,8,0))</f>
        <v/>
      </c>
      <c r="H454" s="1" t="str">
        <f t="shared" si="38"/>
        <v/>
      </c>
      <c r="I454" s="1"/>
      <c r="J454" s="1" t="str">
        <f t="shared" si="39"/>
        <v/>
      </c>
    </row>
    <row r="455" spans="1:10" x14ac:dyDescent="0.2">
      <c r="A455" s="1" t="str">
        <f t="shared" si="35"/>
        <v/>
      </c>
      <c r="B455" s="1"/>
      <c r="C455" s="15" t="str">
        <f t="shared" ca="1" si="36"/>
        <v/>
      </c>
      <c r="D455" s="1" t="str">
        <f>IF(ISBLANK(B455),"",VLOOKUP(B455,formules!E:F,2,0))</f>
        <v/>
      </c>
      <c r="E455" s="1" t="str">
        <f t="shared" si="37"/>
        <v/>
      </c>
      <c r="F455" s="17" t="str">
        <f>IF(ISBLANK(B455),"",VLOOKUP(B455,formules!E:K,7,0))</f>
        <v/>
      </c>
      <c r="G455" s="17" t="str">
        <f>IF(ISBLANK(B455),"",VLOOKUP(B455,formules!E:L,8,0))</f>
        <v/>
      </c>
      <c r="H455" s="1" t="str">
        <f t="shared" si="38"/>
        <v/>
      </c>
      <c r="I455" s="1"/>
      <c r="J455" s="1" t="str">
        <f t="shared" si="39"/>
        <v/>
      </c>
    </row>
    <row r="456" spans="1:10" x14ac:dyDescent="0.2">
      <c r="A456" s="1" t="str">
        <f t="shared" si="35"/>
        <v/>
      </c>
      <c r="B456" s="1"/>
      <c r="C456" s="15" t="str">
        <f t="shared" ca="1" si="36"/>
        <v/>
      </c>
      <c r="D456" s="1" t="str">
        <f>IF(ISBLANK(B456),"",VLOOKUP(B456,formules!E:F,2,0))</f>
        <v/>
      </c>
      <c r="E456" s="1" t="str">
        <f t="shared" si="37"/>
        <v/>
      </c>
      <c r="F456" s="17" t="str">
        <f>IF(ISBLANK(B456),"",VLOOKUP(B456,formules!E:K,7,0))</f>
        <v/>
      </c>
      <c r="G456" s="17" t="str">
        <f>IF(ISBLANK(B456),"",VLOOKUP(B456,formules!E:L,8,0))</f>
        <v/>
      </c>
      <c r="H456" s="1" t="str">
        <f t="shared" si="38"/>
        <v/>
      </c>
      <c r="I456" s="1"/>
      <c r="J456" s="1" t="str">
        <f t="shared" si="39"/>
        <v/>
      </c>
    </row>
    <row r="457" spans="1:10" x14ac:dyDescent="0.2">
      <c r="A457" s="1" t="str">
        <f t="shared" si="35"/>
        <v/>
      </c>
      <c r="B457" s="1"/>
      <c r="C457" s="15" t="str">
        <f t="shared" ca="1" si="36"/>
        <v/>
      </c>
      <c r="D457" s="1" t="str">
        <f>IF(ISBLANK(B457),"",VLOOKUP(B457,formules!E:F,2,0))</f>
        <v/>
      </c>
      <c r="E457" s="1" t="str">
        <f t="shared" si="37"/>
        <v/>
      </c>
      <c r="F457" s="17" t="str">
        <f>IF(ISBLANK(B457),"",VLOOKUP(B457,formules!E:K,7,0))</f>
        <v/>
      </c>
      <c r="G457" s="17" t="str">
        <f>IF(ISBLANK(B457),"",VLOOKUP(B457,formules!E:L,8,0))</f>
        <v/>
      </c>
      <c r="H457" s="1" t="str">
        <f t="shared" si="38"/>
        <v/>
      </c>
      <c r="I457" s="1"/>
      <c r="J457" s="1" t="str">
        <f t="shared" si="39"/>
        <v/>
      </c>
    </row>
    <row r="458" spans="1:10" x14ac:dyDescent="0.2">
      <c r="A458" s="1" t="str">
        <f t="shared" si="35"/>
        <v/>
      </c>
      <c r="B458" s="1"/>
      <c r="C458" s="15" t="str">
        <f t="shared" ca="1" si="36"/>
        <v/>
      </c>
      <c r="D458" s="1" t="str">
        <f>IF(ISBLANK(B458),"",VLOOKUP(B458,formules!E:F,2,0))</f>
        <v/>
      </c>
      <c r="E458" s="1" t="str">
        <f t="shared" si="37"/>
        <v/>
      </c>
      <c r="F458" s="17" t="str">
        <f>IF(ISBLANK(B458),"",VLOOKUP(B458,formules!E:K,7,0))</f>
        <v/>
      </c>
      <c r="G458" s="17" t="str">
        <f>IF(ISBLANK(B458),"",VLOOKUP(B458,formules!E:L,8,0))</f>
        <v/>
      </c>
      <c r="H458" s="1" t="str">
        <f t="shared" si="38"/>
        <v/>
      </c>
      <c r="I458" s="1"/>
      <c r="J458" s="1" t="str">
        <f t="shared" si="39"/>
        <v/>
      </c>
    </row>
    <row r="459" spans="1:10" x14ac:dyDescent="0.2">
      <c r="A459" s="1" t="str">
        <f t="shared" si="35"/>
        <v/>
      </c>
      <c r="B459" s="1"/>
      <c r="C459" s="15" t="str">
        <f t="shared" ca="1" si="36"/>
        <v/>
      </c>
      <c r="D459" s="1" t="str">
        <f>IF(ISBLANK(B459),"",VLOOKUP(B459,formules!E:F,2,0))</f>
        <v/>
      </c>
      <c r="E459" s="1" t="str">
        <f t="shared" si="37"/>
        <v/>
      </c>
      <c r="F459" s="17" t="str">
        <f>IF(ISBLANK(B459),"",VLOOKUP(B459,formules!E:K,7,0))</f>
        <v/>
      </c>
      <c r="G459" s="17" t="str">
        <f>IF(ISBLANK(B459),"",VLOOKUP(B459,formules!E:L,8,0))</f>
        <v/>
      </c>
      <c r="H459" s="1" t="str">
        <f t="shared" si="38"/>
        <v/>
      </c>
      <c r="I459" s="1"/>
      <c r="J459" s="1" t="str">
        <f t="shared" si="39"/>
        <v/>
      </c>
    </row>
    <row r="460" spans="1:10" x14ac:dyDescent="0.2">
      <c r="A460" s="1" t="str">
        <f t="shared" si="35"/>
        <v/>
      </c>
      <c r="B460" s="1"/>
      <c r="C460" s="15" t="str">
        <f t="shared" ca="1" si="36"/>
        <v/>
      </c>
      <c r="D460" s="1" t="str">
        <f>IF(ISBLANK(B460),"",VLOOKUP(B460,formules!E:F,2,0))</f>
        <v/>
      </c>
      <c r="E460" s="1" t="str">
        <f t="shared" si="37"/>
        <v/>
      </c>
      <c r="F460" s="17" t="str">
        <f>IF(ISBLANK(B460),"",VLOOKUP(B460,formules!E:K,7,0))</f>
        <v/>
      </c>
      <c r="G460" s="17" t="str">
        <f>IF(ISBLANK(B460),"",VLOOKUP(B460,formules!E:L,8,0))</f>
        <v/>
      </c>
      <c r="H460" s="1" t="str">
        <f t="shared" si="38"/>
        <v/>
      </c>
      <c r="I460" s="1"/>
      <c r="J460" s="1" t="str">
        <f t="shared" si="39"/>
        <v/>
      </c>
    </row>
    <row r="461" spans="1:10" x14ac:dyDescent="0.2">
      <c r="A461" s="1" t="str">
        <f t="shared" si="35"/>
        <v/>
      </c>
      <c r="B461" s="1"/>
      <c r="C461" s="15" t="str">
        <f t="shared" ca="1" si="36"/>
        <v/>
      </c>
      <c r="D461" s="1" t="str">
        <f>IF(ISBLANK(B461),"",VLOOKUP(B461,formules!E:F,2,0))</f>
        <v/>
      </c>
      <c r="E461" s="1" t="str">
        <f t="shared" si="37"/>
        <v/>
      </c>
      <c r="F461" s="17" t="str">
        <f>IF(ISBLANK(B461),"",VLOOKUP(B461,formules!E:K,7,0))</f>
        <v/>
      </c>
      <c r="G461" s="17" t="str">
        <f>IF(ISBLANK(B461),"",VLOOKUP(B461,formules!E:L,8,0))</f>
        <v/>
      </c>
      <c r="H461" s="1" t="str">
        <f t="shared" si="38"/>
        <v/>
      </c>
      <c r="I461" s="1"/>
      <c r="J461" s="1" t="str">
        <f t="shared" si="39"/>
        <v/>
      </c>
    </row>
    <row r="462" spans="1:10" x14ac:dyDescent="0.2">
      <c r="A462" s="1" t="str">
        <f t="shared" si="35"/>
        <v/>
      </c>
      <c r="B462" s="1"/>
      <c r="C462" s="15" t="str">
        <f t="shared" ca="1" si="36"/>
        <v/>
      </c>
      <c r="D462" s="1" t="str">
        <f>IF(ISBLANK(B462),"",VLOOKUP(B462,formules!E:F,2,0))</f>
        <v/>
      </c>
      <c r="E462" s="1" t="str">
        <f t="shared" si="37"/>
        <v/>
      </c>
      <c r="F462" s="17" t="str">
        <f>IF(ISBLANK(B462),"",VLOOKUP(B462,formules!E:K,7,0))</f>
        <v/>
      </c>
      <c r="G462" s="17" t="str">
        <f>IF(ISBLANK(B462),"",VLOOKUP(B462,formules!E:L,8,0))</f>
        <v/>
      </c>
      <c r="H462" s="1" t="str">
        <f t="shared" si="38"/>
        <v/>
      </c>
      <c r="I462" s="1"/>
      <c r="J462" s="1" t="str">
        <f t="shared" si="39"/>
        <v/>
      </c>
    </row>
    <row r="463" spans="1:10" x14ac:dyDescent="0.2">
      <c r="A463" s="1" t="str">
        <f t="shared" si="35"/>
        <v/>
      </c>
      <c r="B463" s="1"/>
      <c r="C463" s="15" t="str">
        <f t="shared" ca="1" si="36"/>
        <v/>
      </c>
      <c r="D463" s="1" t="str">
        <f>IF(ISBLANK(B463),"",VLOOKUP(B463,formules!E:F,2,0))</f>
        <v/>
      </c>
      <c r="E463" s="1" t="str">
        <f t="shared" si="37"/>
        <v/>
      </c>
      <c r="F463" s="17" t="str">
        <f>IF(ISBLANK(B463),"",VLOOKUP(B463,formules!E:K,7,0))</f>
        <v/>
      </c>
      <c r="G463" s="17" t="str">
        <f>IF(ISBLANK(B463),"",VLOOKUP(B463,formules!E:L,8,0))</f>
        <v/>
      </c>
      <c r="H463" s="1" t="str">
        <f t="shared" si="38"/>
        <v/>
      </c>
      <c r="I463" s="1"/>
      <c r="J463" s="1" t="str">
        <f t="shared" si="39"/>
        <v/>
      </c>
    </row>
    <row r="464" spans="1:10" x14ac:dyDescent="0.2">
      <c r="A464" s="1" t="str">
        <f t="shared" si="35"/>
        <v/>
      </c>
      <c r="B464" s="1"/>
      <c r="C464" s="15" t="str">
        <f t="shared" ca="1" si="36"/>
        <v/>
      </c>
      <c r="D464" s="1" t="str">
        <f>IF(ISBLANK(B464),"",VLOOKUP(B464,formules!E:F,2,0))</f>
        <v/>
      </c>
      <c r="E464" s="1" t="str">
        <f t="shared" si="37"/>
        <v/>
      </c>
      <c r="F464" s="17" t="str">
        <f>IF(ISBLANK(B464),"",VLOOKUP(B464,formules!E:K,7,0))</f>
        <v/>
      </c>
      <c r="G464" s="17" t="str">
        <f>IF(ISBLANK(B464),"",VLOOKUP(B464,formules!E:L,8,0))</f>
        <v/>
      </c>
      <c r="H464" s="1" t="str">
        <f t="shared" si="38"/>
        <v/>
      </c>
      <c r="I464" s="1"/>
      <c r="J464" s="1" t="str">
        <f t="shared" si="39"/>
        <v/>
      </c>
    </row>
    <row r="465" spans="1:10" x14ac:dyDescent="0.2">
      <c r="A465" s="1" t="str">
        <f t="shared" si="35"/>
        <v/>
      </c>
      <c r="B465" s="1"/>
      <c r="C465" s="15" t="str">
        <f t="shared" ca="1" si="36"/>
        <v/>
      </c>
      <c r="D465" s="1" t="str">
        <f>IF(ISBLANK(B465),"",VLOOKUP(B465,formules!E:F,2,0))</f>
        <v/>
      </c>
      <c r="E465" s="1" t="str">
        <f t="shared" si="37"/>
        <v/>
      </c>
      <c r="F465" s="17" t="str">
        <f>IF(ISBLANK(B465),"",VLOOKUP(B465,formules!E:K,7,0))</f>
        <v/>
      </c>
      <c r="G465" s="17" t="str">
        <f>IF(ISBLANK(B465),"",VLOOKUP(B465,formules!E:L,8,0))</f>
        <v/>
      </c>
      <c r="H465" s="1" t="str">
        <f t="shared" si="38"/>
        <v/>
      </c>
      <c r="I465" s="1"/>
      <c r="J465" s="1" t="str">
        <f t="shared" si="39"/>
        <v/>
      </c>
    </row>
    <row r="466" spans="1:10" x14ac:dyDescent="0.2">
      <c r="A466" s="1" t="str">
        <f t="shared" si="35"/>
        <v/>
      </c>
      <c r="B466" s="1"/>
      <c r="C466" s="15" t="str">
        <f t="shared" ca="1" si="36"/>
        <v/>
      </c>
      <c r="D466" s="1" t="str">
        <f>IF(ISBLANK(B466),"",VLOOKUP(B466,formules!E:F,2,0))</f>
        <v/>
      </c>
      <c r="E466" s="1" t="str">
        <f t="shared" si="37"/>
        <v/>
      </c>
      <c r="F466" s="17" t="str">
        <f>IF(ISBLANK(B466),"",VLOOKUP(B466,formules!E:K,7,0))</f>
        <v/>
      </c>
      <c r="G466" s="17" t="str">
        <f>IF(ISBLANK(B466),"",VLOOKUP(B466,formules!E:L,8,0))</f>
        <v/>
      </c>
      <c r="H466" s="1" t="str">
        <f t="shared" si="38"/>
        <v/>
      </c>
      <c r="I466" s="1"/>
      <c r="J466" s="1" t="str">
        <f t="shared" si="39"/>
        <v/>
      </c>
    </row>
    <row r="467" spans="1:10" x14ac:dyDescent="0.2">
      <c r="A467" s="1" t="str">
        <f t="shared" si="35"/>
        <v/>
      </c>
      <c r="B467" s="1"/>
      <c r="C467" s="15" t="str">
        <f t="shared" ca="1" si="36"/>
        <v/>
      </c>
      <c r="D467" s="1" t="str">
        <f>IF(ISBLANK(B467),"",VLOOKUP(B467,formules!E:F,2,0))</f>
        <v/>
      </c>
      <c r="E467" s="1" t="str">
        <f t="shared" si="37"/>
        <v/>
      </c>
      <c r="F467" s="17" t="str">
        <f>IF(ISBLANK(B467),"",VLOOKUP(B467,formules!E:K,7,0))</f>
        <v/>
      </c>
      <c r="G467" s="17" t="str">
        <f>IF(ISBLANK(B467),"",VLOOKUP(B467,formules!E:L,8,0))</f>
        <v/>
      </c>
      <c r="H467" s="1" t="str">
        <f t="shared" si="38"/>
        <v/>
      </c>
      <c r="I467" s="1"/>
      <c r="J467" s="1" t="str">
        <f t="shared" si="39"/>
        <v/>
      </c>
    </row>
    <row r="468" spans="1:10" x14ac:dyDescent="0.2">
      <c r="A468" s="1" t="str">
        <f t="shared" si="35"/>
        <v/>
      </c>
      <c r="B468" s="1"/>
      <c r="C468" s="15" t="str">
        <f t="shared" ca="1" si="36"/>
        <v/>
      </c>
      <c r="D468" s="1" t="str">
        <f>IF(ISBLANK(B468),"",VLOOKUP(B468,formules!E:F,2,0))</f>
        <v/>
      </c>
      <c r="E468" s="1" t="str">
        <f t="shared" si="37"/>
        <v/>
      </c>
      <c r="F468" s="17" t="str">
        <f>IF(ISBLANK(B468),"",VLOOKUP(B468,formules!E:K,7,0))</f>
        <v/>
      </c>
      <c r="G468" s="17" t="str">
        <f>IF(ISBLANK(B468),"",VLOOKUP(B468,formules!E:L,8,0))</f>
        <v/>
      </c>
      <c r="H468" s="1" t="str">
        <f t="shared" si="38"/>
        <v/>
      </c>
      <c r="I468" s="1"/>
      <c r="J468" s="1" t="str">
        <f t="shared" si="39"/>
        <v/>
      </c>
    </row>
    <row r="469" spans="1:10" x14ac:dyDescent="0.2">
      <c r="A469" s="1" t="str">
        <f t="shared" si="35"/>
        <v/>
      </c>
      <c r="B469" s="1"/>
      <c r="C469" s="15" t="str">
        <f t="shared" ca="1" si="36"/>
        <v/>
      </c>
      <c r="D469" s="1" t="str">
        <f>IF(ISBLANK(B469),"",VLOOKUP(B469,formules!E:F,2,0))</f>
        <v/>
      </c>
      <c r="E469" s="1" t="str">
        <f t="shared" si="37"/>
        <v/>
      </c>
      <c r="F469" s="17" t="str">
        <f>IF(ISBLANK(B469),"",VLOOKUP(B469,formules!E:K,7,0))</f>
        <v/>
      </c>
      <c r="G469" s="17" t="str">
        <f>IF(ISBLANK(B469),"",VLOOKUP(B469,formules!E:L,8,0))</f>
        <v/>
      </c>
      <c r="H469" s="1" t="str">
        <f t="shared" si="38"/>
        <v/>
      </c>
      <c r="I469" s="1"/>
      <c r="J469" s="1" t="str">
        <f t="shared" si="39"/>
        <v/>
      </c>
    </row>
    <row r="470" spans="1:10" x14ac:dyDescent="0.2">
      <c r="A470" s="1" t="str">
        <f t="shared" si="35"/>
        <v/>
      </c>
      <c r="B470" s="1"/>
      <c r="C470" s="15" t="str">
        <f t="shared" ca="1" si="36"/>
        <v/>
      </c>
      <c r="D470" s="1" t="str">
        <f>IF(ISBLANK(B470),"",VLOOKUP(B470,formules!E:F,2,0))</f>
        <v/>
      </c>
      <c r="E470" s="1" t="str">
        <f t="shared" si="37"/>
        <v/>
      </c>
      <c r="F470" s="17" t="str">
        <f>IF(ISBLANK(B470),"",VLOOKUP(B470,formules!E:K,7,0))</f>
        <v/>
      </c>
      <c r="G470" s="17" t="str">
        <f>IF(ISBLANK(B470),"",VLOOKUP(B470,formules!E:L,8,0))</f>
        <v/>
      </c>
      <c r="H470" s="1" t="str">
        <f t="shared" si="38"/>
        <v/>
      </c>
      <c r="I470" s="1"/>
      <c r="J470" s="1" t="str">
        <f t="shared" si="39"/>
        <v/>
      </c>
    </row>
    <row r="471" spans="1:10" x14ac:dyDescent="0.2">
      <c r="A471" s="1" t="str">
        <f t="shared" si="35"/>
        <v/>
      </c>
      <c r="B471" s="1"/>
      <c r="C471" s="15" t="str">
        <f t="shared" ca="1" si="36"/>
        <v/>
      </c>
      <c r="D471" s="1" t="str">
        <f>IF(ISBLANK(B471),"",VLOOKUP(B471,formules!E:F,2,0))</f>
        <v/>
      </c>
      <c r="E471" s="1" t="str">
        <f t="shared" si="37"/>
        <v/>
      </c>
      <c r="F471" s="17" t="str">
        <f>IF(ISBLANK(B471),"",VLOOKUP(B471,formules!E:K,7,0))</f>
        <v/>
      </c>
      <c r="G471" s="17" t="str">
        <f>IF(ISBLANK(B471),"",VLOOKUP(B471,formules!E:L,8,0))</f>
        <v/>
      </c>
      <c r="H471" s="1" t="str">
        <f t="shared" si="38"/>
        <v/>
      </c>
      <c r="I471" s="1"/>
      <c r="J471" s="1" t="str">
        <f t="shared" si="39"/>
        <v/>
      </c>
    </row>
    <row r="472" spans="1:10" x14ac:dyDescent="0.2">
      <c r="A472" s="1" t="str">
        <f t="shared" si="35"/>
        <v/>
      </c>
      <c r="B472" s="1"/>
      <c r="C472" s="15" t="str">
        <f t="shared" ca="1" si="36"/>
        <v/>
      </c>
      <c r="D472" s="1" t="str">
        <f>IF(ISBLANK(B472),"",VLOOKUP(B472,formules!E:F,2,0))</f>
        <v/>
      </c>
      <c r="E472" s="1" t="str">
        <f t="shared" si="37"/>
        <v/>
      </c>
      <c r="F472" s="17" t="str">
        <f>IF(ISBLANK(B472),"",VLOOKUP(B472,formules!E:K,7,0))</f>
        <v/>
      </c>
      <c r="G472" s="17" t="str">
        <f>IF(ISBLANK(B472),"",VLOOKUP(B472,formules!E:L,8,0))</f>
        <v/>
      </c>
      <c r="H472" s="1" t="str">
        <f t="shared" si="38"/>
        <v/>
      </c>
      <c r="I472" s="1"/>
      <c r="J472" s="1" t="str">
        <f t="shared" si="39"/>
        <v/>
      </c>
    </row>
    <row r="473" spans="1:10" x14ac:dyDescent="0.2">
      <c r="A473" s="1" t="str">
        <f t="shared" si="35"/>
        <v/>
      </c>
      <c r="B473" s="1"/>
      <c r="C473" s="15" t="str">
        <f t="shared" ca="1" si="36"/>
        <v/>
      </c>
      <c r="D473" s="1" t="str">
        <f>IF(ISBLANK(B473),"",VLOOKUP(B473,formules!E:F,2,0))</f>
        <v/>
      </c>
      <c r="E473" s="1" t="str">
        <f t="shared" si="37"/>
        <v/>
      </c>
      <c r="F473" s="17" t="str">
        <f>IF(ISBLANK(B473),"",VLOOKUP(B473,formules!E:K,7,0))</f>
        <v/>
      </c>
      <c r="G473" s="17" t="str">
        <f>IF(ISBLANK(B473),"",VLOOKUP(B473,formules!E:L,8,0))</f>
        <v/>
      </c>
      <c r="H473" s="1" t="str">
        <f t="shared" si="38"/>
        <v/>
      </c>
      <c r="I473" s="1"/>
      <c r="J473" s="1" t="str">
        <f t="shared" si="39"/>
        <v/>
      </c>
    </row>
    <row r="474" spans="1:10" x14ac:dyDescent="0.2">
      <c r="A474" s="1" t="str">
        <f t="shared" si="35"/>
        <v/>
      </c>
      <c r="B474" s="1"/>
      <c r="C474" s="15" t="str">
        <f t="shared" ca="1" si="36"/>
        <v/>
      </c>
      <c r="D474" s="1" t="str">
        <f>IF(ISBLANK(B474),"",VLOOKUP(B474,formules!E:F,2,0))</f>
        <v/>
      </c>
      <c r="E474" s="1" t="str">
        <f t="shared" si="37"/>
        <v/>
      </c>
      <c r="F474" s="17" t="str">
        <f>IF(ISBLANK(B474),"",VLOOKUP(B474,formules!E:K,7,0))</f>
        <v/>
      </c>
      <c r="G474" s="17" t="str">
        <f>IF(ISBLANK(B474),"",VLOOKUP(B474,formules!E:L,8,0))</f>
        <v/>
      </c>
      <c r="H474" s="1" t="str">
        <f t="shared" si="38"/>
        <v/>
      </c>
      <c r="I474" s="1"/>
      <c r="J474" s="1" t="str">
        <f t="shared" si="39"/>
        <v/>
      </c>
    </row>
    <row r="475" spans="1:10" x14ac:dyDescent="0.2">
      <c r="A475" s="1" t="str">
        <f t="shared" si="35"/>
        <v/>
      </c>
      <c r="B475" s="1"/>
      <c r="C475" s="15" t="str">
        <f t="shared" ca="1" si="36"/>
        <v/>
      </c>
      <c r="D475" s="1" t="str">
        <f>IF(ISBLANK(B475),"",VLOOKUP(B475,formules!E:F,2,0))</f>
        <v/>
      </c>
      <c r="E475" s="1" t="str">
        <f t="shared" si="37"/>
        <v/>
      </c>
      <c r="F475" s="17" t="str">
        <f>IF(ISBLANK(B475),"",VLOOKUP(B475,formules!E:K,7,0))</f>
        <v/>
      </c>
      <c r="G475" s="17" t="str">
        <f>IF(ISBLANK(B475),"",VLOOKUP(B475,formules!E:L,8,0))</f>
        <v/>
      </c>
      <c r="H475" s="1" t="str">
        <f t="shared" si="38"/>
        <v/>
      </c>
      <c r="I475" s="1"/>
      <c r="J475" s="1" t="str">
        <f t="shared" si="39"/>
        <v/>
      </c>
    </row>
    <row r="476" spans="1:10" x14ac:dyDescent="0.2">
      <c r="A476" s="1" t="str">
        <f t="shared" si="35"/>
        <v/>
      </c>
      <c r="B476" s="1"/>
      <c r="C476" s="15" t="str">
        <f t="shared" ca="1" si="36"/>
        <v/>
      </c>
      <c r="D476" s="1" t="str">
        <f>IF(ISBLANK(B476),"",VLOOKUP(B476,formules!E:F,2,0))</f>
        <v/>
      </c>
      <c r="E476" s="1" t="str">
        <f t="shared" si="37"/>
        <v/>
      </c>
      <c r="F476" s="17" t="str">
        <f>IF(ISBLANK(B476),"",VLOOKUP(B476,formules!E:K,7,0))</f>
        <v/>
      </c>
      <c r="G476" s="17" t="str">
        <f>IF(ISBLANK(B476),"",VLOOKUP(B476,formules!E:L,8,0))</f>
        <v/>
      </c>
      <c r="H476" s="1" t="str">
        <f t="shared" si="38"/>
        <v/>
      </c>
      <c r="I476" s="1"/>
      <c r="J476" s="1" t="str">
        <f t="shared" si="39"/>
        <v/>
      </c>
    </row>
    <row r="477" spans="1:10" x14ac:dyDescent="0.2">
      <c r="A477" s="1" t="str">
        <f t="shared" si="35"/>
        <v/>
      </c>
      <c r="B477" s="1"/>
      <c r="C477" s="15" t="str">
        <f t="shared" ca="1" si="36"/>
        <v/>
      </c>
      <c r="D477" s="1" t="str">
        <f>IF(ISBLANK(B477),"",VLOOKUP(B477,formules!E:F,2,0))</f>
        <v/>
      </c>
      <c r="E477" s="1" t="str">
        <f t="shared" si="37"/>
        <v/>
      </c>
      <c r="F477" s="17" t="str">
        <f>IF(ISBLANK(B477),"",VLOOKUP(B477,formules!E:K,7,0))</f>
        <v/>
      </c>
      <c r="G477" s="17" t="str">
        <f>IF(ISBLANK(B477),"",VLOOKUP(B477,formules!E:L,8,0))</f>
        <v/>
      </c>
      <c r="H477" s="1" t="str">
        <f t="shared" si="38"/>
        <v/>
      </c>
      <c r="I477" s="1"/>
      <c r="J477" s="1" t="str">
        <f t="shared" si="39"/>
        <v/>
      </c>
    </row>
    <row r="478" spans="1:10" x14ac:dyDescent="0.2">
      <c r="A478" s="1" t="str">
        <f t="shared" si="35"/>
        <v/>
      </c>
      <c r="B478" s="1"/>
      <c r="C478" s="15" t="str">
        <f t="shared" ca="1" si="36"/>
        <v/>
      </c>
      <c r="D478" s="1" t="str">
        <f>IF(ISBLANK(B478),"",VLOOKUP(B478,formules!E:F,2,0))</f>
        <v/>
      </c>
      <c r="E478" s="1" t="str">
        <f t="shared" si="37"/>
        <v/>
      </c>
      <c r="F478" s="17" t="str">
        <f>IF(ISBLANK(B478),"",VLOOKUP(B478,formules!E:K,7,0))</f>
        <v/>
      </c>
      <c r="G478" s="17" t="str">
        <f>IF(ISBLANK(B478),"",VLOOKUP(B478,formules!E:L,8,0))</f>
        <v/>
      </c>
      <c r="H478" s="1" t="str">
        <f t="shared" si="38"/>
        <v/>
      </c>
      <c r="I478" s="1"/>
      <c r="J478" s="1" t="str">
        <f t="shared" si="39"/>
        <v/>
      </c>
    </row>
    <row r="479" spans="1:10" x14ac:dyDescent="0.2">
      <c r="A479" s="1" t="str">
        <f t="shared" si="35"/>
        <v/>
      </c>
      <c r="B479" s="1"/>
      <c r="C479" s="15" t="str">
        <f t="shared" ca="1" si="36"/>
        <v/>
      </c>
      <c r="D479" s="1" t="str">
        <f>IF(ISBLANK(B479),"",VLOOKUP(B479,formules!E:F,2,0))</f>
        <v/>
      </c>
      <c r="E479" s="1" t="str">
        <f t="shared" si="37"/>
        <v/>
      </c>
      <c r="F479" s="17" t="str">
        <f>IF(ISBLANK(B479),"",VLOOKUP(B479,formules!E:K,7,0))</f>
        <v/>
      </c>
      <c r="G479" s="17" t="str">
        <f>IF(ISBLANK(B479),"",VLOOKUP(B479,formules!E:L,8,0))</f>
        <v/>
      </c>
      <c r="H479" s="1" t="str">
        <f t="shared" si="38"/>
        <v/>
      </c>
      <c r="I479" s="1"/>
      <c r="J479" s="1" t="str">
        <f t="shared" si="39"/>
        <v/>
      </c>
    </row>
    <row r="480" spans="1:10" x14ac:dyDescent="0.2">
      <c r="A480" s="1" t="str">
        <f t="shared" si="35"/>
        <v/>
      </c>
      <c r="B480" s="1"/>
      <c r="C480" s="15" t="str">
        <f t="shared" ca="1" si="36"/>
        <v/>
      </c>
      <c r="D480" s="1" t="str">
        <f>IF(ISBLANK(B480),"",VLOOKUP(B480,formules!E:F,2,0))</f>
        <v/>
      </c>
      <c r="E480" s="1" t="str">
        <f t="shared" si="37"/>
        <v/>
      </c>
      <c r="F480" s="17" t="str">
        <f>IF(ISBLANK(B480),"",VLOOKUP(B480,formules!E:K,7,0))</f>
        <v/>
      </c>
      <c r="G480" s="17" t="str">
        <f>IF(ISBLANK(B480),"",VLOOKUP(B480,formules!E:L,8,0))</f>
        <v/>
      </c>
      <c r="H480" s="1" t="str">
        <f t="shared" si="38"/>
        <v/>
      </c>
      <c r="I480" s="1"/>
      <c r="J480" s="1" t="str">
        <f t="shared" si="39"/>
        <v/>
      </c>
    </row>
    <row r="481" spans="1:10" x14ac:dyDescent="0.2">
      <c r="A481" s="1" t="str">
        <f t="shared" si="35"/>
        <v/>
      </c>
      <c r="B481" s="1"/>
      <c r="C481" s="15" t="str">
        <f t="shared" ca="1" si="36"/>
        <v/>
      </c>
      <c r="D481" s="1" t="str">
        <f>IF(ISBLANK(B481),"",VLOOKUP(B481,formules!E:F,2,0))</f>
        <v/>
      </c>
      <c r="E481" s="1" t="str">
        <f t="shared" si="37"/>
        <v/>
      </c>
      <c r="F481" s="17" t="str">
        <f>IF(ISBLANK(B481),"",VLOOKUP(B481,formules!E:K,7,0))</f>
        <v/>
      </c>
      <c r="G481" s="17" t="str">
        <f>IF(ISBLANK(B481),"",VLOOKUP(B481,formules!E:L,8,0))</f>
        <v/>
      </c>
      <c r="H481" s="1" t="str">
        <f t="shared" si="38"/>
        <v/>
      </c>
      <c r="I481" s="1"/>
      <c r="J481" s="1" t="str">
        <f t="shared" si="39"/>
        <v/>
      </c>
    </row>
    <row r="482" spans="1:10" x14ac:dyDescent="0.2">
      <c r="A482" s="1" t="str">
        <f t="shared" si="35"/>
        <v/>
      </c>
      <c r="B482" s="1"/>
      <c r="C482" s="15" t="str">
        <f t="shared" ca="1" si="36"/>
        <v/>
      </c>
      <c r="D482" s="1" t="str">
        <f>IF(ISBLANK(B482),"",VLOOKUP(B482,formules!E:F,2,0))</f>
        <v/>
      </c>
      <c r="E482" s="1" t="str">
        <f t="shared" si="37"/>
        <v/>
      </c>
      <c r="F482" s="17" t="str">
        <f>IF(ISBLANK(B482),"",VLOOKUP(B482,formules!E:K,7,0))</f>
        <v/>
      </c>
      <c r="G482" s="17" t="str">
        <f>IF(ISBLANK(B482),"",VLOOKUP(B482,formules!E:L,8,0))</f>
        <v/>
      </c>
      <c r="H482" s="1" t="str">
        <f t="shared" si="38"/>
        <v/>
      </c>
      <c r="I482" s="1"/>
      <c r="J482" s="1" t="str">
        <f t="shared" si="39"/>
        <v/>
      </c>
    </row>
    <row r="483" spans="1:10" x14ac:dyDescent="0.2">
      <c r="A483" s="1" t="str">
        <f t="shared" si="35"/>
        <v/>
      </c>
      <c r="B483" s="1"/>
      <c r="C483" s="15" t="str">
        <f t="shared" ca="1" si="36"/>
        <v/>
      </c>
      <c r="D483" s="1" t="str">
        <f>IF(ISBLANK(B483),"",VLOOKUP(B483,formules!E:F,2,0))</f>
        <v/>
      </c>
      <c r="E483" s="1" t="str">
        <f t="shared" si="37"/>
        <v/>
      </c>
      <c r="F483" s="17" t="str">
        <f>IF(ISBLANK(B483),"",VLOOKUP(B483,formules!E:K,7,0))</f>
        <v/>
      </c>
      <c r="G483" s="17" t="str">
        <f>IF(ISBLANK(B483),"",VLOOKUP(B483,formules!E:L,8,0))</f>
        <v/>
      </c>
      <c r="H483" s="1" t="str">
        <f t="shared" si="38"/>
        <v/>
      </c>
      <c r="I483" s="1"/>
      <c r="J483" s="1" t="str">
        <f t="shared" si="39"/>
        <v/>
      </c>
    </row>
    <row r="484" spans="1:10" x14ac:dyDescent="0.2">
      <c r="A484" s="1" t="str">
        <f t="shared" si="35"/>
        <v/>
      </c>
      <c r="B484" s="1"/>
      <c r="C484" s="15" t="str">
        <f t="shared" ca="1" si="36"/>
        <v/>
      </c>
      <c r="D484" s="1" t="str">
        <f>IF(ISBLANK(B484),"",VLOOKUP(B484,formules!E:F,2,0))</f>
        <v/>
      </c>
      <c r="E484" s="1" t="str">
        <f t="shared" si="37"/>
        <v/>
      </c>
      <c r="F484" s="17" t="str">
        <f>IF(ISBLANK(B484),"",VLOOKUP(B484,formules!E:K,7,0))</f>
        <v/>
      </c>
      <c r="G484" s="17" t="str">
        <f>IF(ISBLANK(B484),"",VLOOKUP(B484,formules!E:L,8,0))</f>
        <v/>
      </c>
      <c r="H484" s="1" t="str">
        <f t="shared" si="38"/>
        <v/>
      </c>
      <c r="I484" s="1"/>
      <c r="J484" s="1" t="str">
        <f t="shared" si="39"/>
        <v/>
      </c>
    </row>
    <row r="485" spans="1:10" x14ac:dyDescent="0.2">
      <c r="A485" s="1" t="str">
        <f t="shared" si="35"/>
        <v/>
      </c>
      <c r="B485" s="1"/>
      <c r="C485" s="15" t="str">
        <f t="shared" ca="1" si="36"/>
        <v/>
      </c>
      <c r="D485" s="1" t="str">
        <f>IF(ISBLANK(B485),"",VLOOKUP(B485,formules!E:F,2,0))</f>
        <v/>
      </c>
      <c r="E485" s="1" t="str">
        <f t="shared" si="37"/>
        <v/>
      </c>
      <c r="F485" s="17" t="str">
        <f>IF(ISBLANK(B485),"",VLOOKUP(B485,formules!E:K,7,0))</f>
        <v/>
      </c>
      <c r="G485" s="17" t="str">
        <f>IF(ISBLANK(B485),"",VLOOKUP(B485,formules!E:L,8,0))</f>
        <v/>
      </c>
      <c r="H485" s="1" t="str">
        <f t="shared" si="38"/>
        <v/>
      </c>
      <c r="I485" s="1"/>
      <c r="J485" s="1" t="str">
        <f t="shared" si="39"/>
        <v/>
      </c>
    </row>
    <row r="486" spans="1:10" x14ac:dyDescent="0.2">
      <c r="A486" s="1" t="str">
        <f t="shared" si="35"/>
        <v/>
      </c>
      <c r="B486" s="1"/>
      <c r="C486" s="15" t="str">
        <f t="shared" ca="1" si="36"/>
        <v/>
      </c>
      <c r="D486" s="1" t="str">
        <f>IF(ISBLANK(B486),"",VLOOKUP(B486,formules!E:F,2,0))</f>
        <v/>
      </c>
      <c r="E486" s="1" t="str">
        <f t="shared" si="37"/>
        <v/>
      </c>
      <c r="F486" s="17" t="str">
        <f>IF(ISBLANK(B486),"",VLOOKUP(B486,formules!E:K,7,0))</f>
        <v/>
      </c>
      <c r="G486" s="17" t="str">
        <f>IF(ISBLANK(B486),"",VLOOKUP(B486,formules!E:L,8,0))</f>
        <v/>
      </c>
      <c r="H486" s="1" t="str">
        <f t="shared" si="38"/>
        <v/>
      </c>
      <c r="I486" s="1"/>
      <c r="J486" s="1" t="str">
        <f t="shared" si="39"/>
        <v/>
      </c>
    </row>
    <row r="487" spans="1:10" x14ac:dyDescent="0.2">
      <c r="A487" s="1" t="str">
        <f t="shared" si="35"/>
        <v/>
      </c>
      <c r="B487" s="1"/>
      <c r="C487" s="15" t="str">
        <f t="shared" ca="1" si="36"/>
        <v/>
      </c>
      <c r="D487" s="1" t="str">
        <f>IF(ISBLANK(B487),"",VLOOKUP(B487,formules!E:F,2,0))</f>
        <v/>
      </c>
      <c r="E487" s="1" t="str">
        <f t="shared" si="37"/>
        <v/>
      </c>
      <c r="F487" s="17" t="str">
        <f>IF(ISBLANK(B487),"",VLOOKUP(B487,formules!E:K,7,0))</f>
        <v/>
      </c>
      <c r="G487" s="17" t="str">
        <f>IF(ISBLANK(B487),"",VLOOKUP(B487,formules!E:L,8,0))</f>
        <v/>
      </c>
      <c r="H487" s="1" t="str">
        <f t="shared" si="38"/>
        <v/>
      </c>
      <c r="I487" s="1"/>
      <c r="J487" s="1" t="str">
        <f t="shared" si="39"/>
        <v/>
      </c>
    </row>
    <row r="488" spans="1:10" x14ac:dyDescent="0.2">
      <c r="A488" s="1" t="str">
        <f t="shared" si="35"/>
        <v/>
      </c>
      <c r="B488" s="1"/>
      <c r="C488" s="15" t="str">
        <f t="shared" ca="1" si="36"/>
        <v/>
      </c>
      <c r="D488" s="1" t="str">
        <f>IF(ISBLANK(B488),"",VLOOKUP(B488,formules!E:F,2,0))</f>
        <v/>
      </c>
      <c r="E488" s="1" t="str">
        <f t="shared" si="37"/>
        <v/>
      </c>
      <c r="F488" s="17" t="str">
        <f>IF(ISBLANK(B488),"",VLOOKUP(B488,formules!E:K,7,0))</f>
        <v/>
      </c>
      <c r="G488" s="17" t="str">
        <f>IF(ISBLANK(B488),"",VLOOKUP(B488,formules!E:L,8,0))</f>
        <v/>
      </c>
      <c r="H488" s="1" t="str">
        <f t="shared" si="38"/>
        <v/>
      </c>
      <c r="I488" s="1"/>
      <c r="J488" s="1" t="str">
        <f t="shared" si="39"/>
        <v/>
      </c>
    </row>
    <row r="489" spans="1:10" x14ac:dyDescent="0.2">
      <c r="A489" s="1" t="str">
        <f t="shared" si="35"/>
        <v/>
      </c>
      <c r="B489" s="1"/>
      <c r="C489" s="15" t="str">
        <f t="shared" ca="1" si="36"/>
        <v/>
      </c>
      <c r="D489" s="1" t="str">
        <f>IF(ISBLANK(B489),"",VLOOKUP(B489,formules!E:F,2,0))</f>
        <v/>
      </c>
      <c r="E489" s="1" t="str">
        <f t="shared" si="37"/>
        <v/>
      </c>
      <c r="F489" s="17" t="str">
        <f>IF(ISBLANK(B489),"",VLOOKUP(B489,formules!E:K,7,0))</f>
        <v/>
      </c>
      <c r="G489" s="17" t="str">
        <f>IF(ISBLANK(B489),"",VLOOKUP(B489,formules!E:L,8,0))</f>
        <v/>
      </c>
      <c r="H489" s="1" t="str">
        <f t="shared" si="38"/>
        <v/>
      </c>
      <c r="I489" s="1"/>
      <c r="J489" s="1" t="str">
        <f t="shared" si="39"/>
        <v/>
      </c>
    </row>
    <row r="490" spans="1:10" x14ac:dyDescent="0.2">
      <c r="A490" s="1" t="str">
        <f t="shared" si="35"/>
        <v/>
      </c>
      <c r="B490" s="1"/>
      <c r="C490" s="15" t="str">
        <f t="shared" ca="1" si="36"/>
        <v/>
      </c>
      <c r="D490" s="1" t="str">
        <f>IF(ISBLANK(B490),"",VLOOKUP(B490,formules!E:F,2,0))</f>
        <v/>
      </c>
      <c r="E490" s="1" t="str">
        <f t="shared" si="37"/>
        <v/>
      </c>
      <c r="F490" s="17" t="str">
        <f>IF(ISBLANK(B490),"",VLOOKUP(B490,formules!E:K,7,0))</f>
        <v/>
      </c>
      <c r="G490" s="17" t="str">
        <f>IF(ISBLANK(B490),"",VLOOKUP(B490,formules!E:L,8,0))</f>
        <v/>
      </c>
      <c r="H490" s="1" t="str">
        <f t="shared" si="38"/>
        <v/>
      </c>
      <c r="I490" s="1"/>
      <c r="J490" s="1" t="str">
        <f t="shared" si="39"/>
        <v/>
      </c>
    </row>
    <row r="491" spans="1:10" x14ac:dyDescent="0.2">
      <c r="A491" s="1" t="str">
        <f t="shared" si="35"/>
        <v/>
      </c>
      <c r="B491" s="1"/>
      <c r="C491" s="15" t="str">
        <f t="shared" ca="1" si="36"/>
        <v/>
      </c>
      <c r="D491" s="1" t="str">
        <f>IF(ISBLANK(B491),"",VLOOKUP(B491,formules!E:F,2,0))</f>
        <v/>
      </c>
      <c r="E491" s="1" t="str">
        <f t="shared" si="37"/>
        <v/>
      </c>
      <c r="F491" s="17" t="str">
        <f>IF(ISBLANK(B491),"",VLOOKUP(B491,formules!E:K,7,0))</f>
        <v/>
      </c>
      <c r="G491" s="17" t="str">
        <f>IF(ISBLANK(B491),"",VLOOKUP(B491,formules!E:L,8,0))</f>
        <v/>
      </c>
      <c r="H491" s="1" t="str">
        <f t="shared" si="38"/>
        <v/>
      </c>
      <c r="I491" s="1"/>
      <c r="J491" s="1" t="str">
        <f t="shared" si="39"/>
        <v/>
      </c>
    </row>
    <row r="492" spans="1:10" x14ac:dyDescent="0.2">
      <c r="A492" s="1" t="str">
        <f t="shared" si="35"/>
        <v/>
      </c>
      <c r="B492" s="1"/>
      <c r="C492" s="15" t="str">
        <f t="shared" ca="1" si="36"/>
        <v/>
      </c>
      <c r="D492" s="1" t="str">
        <f>IF(ISBLANK(B492),"",VLOOKUP(B492,formules!E:F,2,0))</f>
        <v/>
      </c>
      <c r="E492" s="1" t="str">
        <f t="shared" si="37"/>
        <v/>
      </c>
      <c r="F492" s="17" t="str">
        <f>IF(ISBLANK(B492),"",VLOOKUP(B492,formules!E:K,7,0))</f>
        <v/>
      </c>
      <c r="G492" s="17" t="str">
        <f>IF(ISBLANK(B492),"",VLOOKUP(B492,formules!E:L,8,0))</f>
        <v/>
      </c>
      <c r="H492" s="1" t="str">
        <f t="shared" si="38"/>
        <v/>
      </c>
      <c r="I492" s="1"/>
      <c r="J492" s="1" t="str">
        <f t="shared" si="39"/>
        <v/>
      </c>
    </row>
    <row r="493" spans="1:10" x14ac:dyDescent="0.2">
      <c r="A493" s="1" t="str">
        <f t="shared" si="35"/>
        <v/>
      </c>
      <c r="B493" s="1"/>
      <c r="C493" s="15" t="str">
        <f t="shared" ca="1" si="36"/>
        <v/>
      </c>
      <c r="D493" s="1" t="str">
        <f>IF(ISBLANK(B493),"",VLOOKUP(B493,formules!E:F,2,0))</f>
        <v/>
      </c>
      <c r="E493" s="1" t="str">
        <f t="shared" si="37"/>
        <v/>
      </c>
      <c r="F493" s="17" t="str">
        <f>IF(ISBLANK(B493),"",VLOOKUP(B493,formules!E:K,7,0))</f>
        <v/>
      </c>
      <c r="G493" s="17" t="str">
        <f>IF(ISBLANK(B493),"",VLOOKUP(B493,formules!E:L,8,0))</f>
        <v/>
      </c>
      <c r="H493" s="1" t="str">
        <f t="shared" si="38"/>
        <v/>
      </c>
      <c r="I493" s="1"/>
      <c r="J493" s="1" t="str">
        <f t="shared" si="39"/>
        <v/>
      </c>
    </row>
    <row r="494" spans="1:10" x14ac:dyDescent="0.2">
      <c r="A494" s="1" t="str">
        <f t="shared" si="35"/>
        <v/>
      </c>
      <c r="B494" s="1"/>
      <c r="C494" s="15" t="str">
        <f t="shared" ca="1" si="36"/>
        <v/>
      </c>
      <c r="D494" s="1" t="str">
        <f>IF(ISBLANK(B494),"",VLOOKUP(B494,formules!E:F,2,0))</f>
        <v/>
      </c>
      <c r="E494" s="1" t="str">
        <f t="shared" si="37"/>
        <v/>
      </c>
      <c r="F494" s="17" t="str">
        <f>IF(ISBLANK(B494),"",VLOOKUP(B494,formules!E:K,7,0))</f>
        <v/>
      </c>
      <c r="G494" s="17" t="str">
        <f>IF(ISBLANK(B494),"",VLOOKUP(B494,formules!E:L,8,0))</f>
        <v/>
      </c>
      <c r="H494" s="1" t="str">
        <f t="shared" si="38"/>
        <v/>
      </c>
      <c r="I494" s="1"/>
      <c r="J494" s="1" t="str">
        <f t="shared" si="39"/>
        <v/>
      </c>
    </row>
    <row r="495" spans="1:10" x14ac:dyDescent="0.2">
      <c r="A495" s="1" t="str">
        <f t="shared" si="35"/>
        <v/>
      </c>
      <c r="B495" s="1"/>
      <c r="C495" s="15" t="str">
        <f t="shared" ca="1" si="36"/>
        <v/>
      </c>
      <c r="D495" s="1" t="str">
        <f>IF(ISBLANK(B495),"",VLOOKUP(B495,formules!E:F,2,0))</f>
        <v/>
      </c>
      <c r="E495" s="1" t="str">
        <f t="shared" si="37"/>
        <v/>
      </c>
      <c r="F495" s="17" t="str">
        <f>IF(ISBLANK(B495),"",VLOOKUP(B495,formules!E:K,7,0))</f>
        <v/>
      </c>
      <c r="G495" s="17" t="str">
        <f>IF(ISBLANK(B495),"",VLOOKUP(B495,formules!E:L,8,0))</f>
        <v/>
      </c>
      <c r="H495" s="1" t="str">
        <f t="shared" si="38"/>
        <v/>
      </c>
      <c r="I495" s="1"/>
      <c r="J495" s="1" t="str">
        <f t="shared" si="39"/>
        <v/>
      </c>
    </row>
    <row r="496" spans="1:10" x14ac:dyDescent="0.2">
      <c r="A496" s="1" t="str">
        <f t="shared" si="35"/>
        <v/>
      </c>
      <c r="B496" s="1"/>
      <c r="C496" s="15" t="str">
        <f t="shared" ca="1" si="36"/>
        <v/>
      </c>
      <c r="D496" s="1" t="str">
        <f>IF(ISBLANK(B496),"",VLOOKUP(B496,formules!E:F,2,0))</f>
        <v/>
      </c>
      <c r="E496" s="1" t="str">
        <f t="shared" si="37"/>
        <v/>
      </c>
      <c r="F496" s="17" t="str">
        <f>IF(ISBLANK(B496),"",VLOOKUP(B496,formules!E:K,7,0))</f>
        <v/>
      </c>
      <c r="G496" s="17" t="str">
        <f>IF(ISBLANK(B496),"",VLOOKUP(B496,formules!E:L,8,0))</f>
        <v/>
      </c>
      <c r="H496" s="1" t="str">
        <f t="shared" si="38"/>
        <v/>
      </c>
      <c r="I496" s="1"/>
      <c r="J496" s="1" t="str">
        <f t="shared" si="39"/>
        <v/>
      </c>
    </row>
    <row r="497" spans="1:10" x14ac:dyDescent="0.2">
      <c r="A497" s="1" t="str">
        <f t="shared" si="35"/>
        <v/>
      </c>
      <c r="B497" s="1"/>
      <c r="C497" s="15" t="str">
        <f t="shared" ca="1" si="36"/>
        <v/>
      </c>
      <c r="D497" s="1" t="str">
        <f>IF(ISBLANK(B497),"",VLOOKUP(B497,formules!E:F,2,0))</f>
        <v/>
      </c>
      <c r="E497" s="1" t="str">
        <f t="shared" si="37"/>
        <v/>
      </c>
      <c r="F497" s="17" t="str">
        <f>IF(ISBLANK(B497),"",VLOOKUP(B497,formules!E:K,7,0))</f>
        <v/>
      </c>
      <c r="G497" s="17" t="str">
        <f>IF(ISBLANK(B497),"",VLOOKUP(B497,formules!E:L,8,0))</f>
        <v/>
      </c>
      <c r="H497" s="1" t="str">
        <f t="shared" si="38"/>
        <v/>
      </c>
      <c r="I497" s="1"/>
      <c r="J497" s="1" t="str">
        <f t="shared" si="39"/>
        <v/>
      </c>
    </row>
    <row r="498" spans="1:10" x14ac:dyDescent="0.2">
      <c r="A498" s="1" t="str">
        <f t="shared" si="35"/>
        <v/>
      </c>
      <c r="B498" s="1"/>
      <c r="C498" s="15" t="str">
        <f t="shared" ca="1" si="36"/>
        <v/>
      </c>
      <c r="D498" s="1" t="str">
        <f>IF(ISBLANK(B498),"",VLOOKUP(B498,formules!E:F,2,0))</f>
        <v/>
      </c>
      <c r="E498" s="1" t="str">
        <f t="shared" si="37"/>
        <v/>
      </c>
      <c r="F498" s="17" t="str">
        <f>IF(ISBLANK(B498),"",VLOOKUP(B498,formules!E:K,7,0))</f>
        <v/>
      </c>
      <c r="G498" s="17" t="str">
        <f>IF(ISBLANK(B498),"",VLOOKUP(B498,formules!E:L,8,0))</f>
        <v/>
      </c>
      <c r="H498" s="1" t="str">
        <f t="shared" si="38"/>
        <v/>
      </c>
      <c r="I498" s="1"/>
      <c r="J498" s="1" t="str">
        <f t="shared" si="39"/>
        <v/>
      </c>
    </row>
    <row r="499" spans="1:10" x14ac:dyDescent="0.2">
      <c r="A499" s="1" t="str">
        <f t="shared" si="35"/>
        <v/>
      </c>
      <c r="B499" s="1"/>
      <c r="C499" s="15" t="str">
        <f t="shared" ca="1" si="36"/>
        <v/>
      </c>
      <c r="D499" s="1" t="str">
        <f>IF(ISBLANK(B499),"",VLOOKUP(B499,formules!E:F,2,0))</f>
        <v/>
      </c>
      <c r="E499" s="1" t="str">
        <f t="shared" si="37"/>
        <v/>
      </c>
      <c r="F499" s="17" t="str">
        <f>IF(ISBLANK(B499),"",VLOOKUP(B499,formules!E:K,7,0))</f>
        <v/>
      </c>
      <c r="G499" s="17" t="str">
        <f>IF(ISBLANK(B499),"",VLOOKUP(B499,formules!E:L,8,0))</f>
        <v/>
      </c>
      <c r="H499" s="1" t="str">
        <f t="shared" si="38"/>
        <v/>
      </c>
      <c r="I499" s="1"/>
      <c r="J499" s="1" t="str">
        <f t="shared" si="39"/>
        <v/>
      </c>
    </row>
    <row r="500" spans="1:10" x14ac:dyDescent="0.2">
      <c r="A500" s="1" t="str">
        <f t="shared" si="35"/>
        <v/>
      </c>
      <c r="B500" s="1"/>
      <c r="C500" s="15" t="str">
        <f t="shared" ca="1" si="36"/>
        <v/>
      </c>
      <c r="D500" s="1" t="str">
        <f>IF(ISBLANK(B500),"",VLOOKUP(B500,formules!E:F,2,0))</f>
        <v/>
      </c>
      <c r="E500" s="1" t="str">
        <f t="shared" si="37"/>
        <v/>
      </c>
      <c r="F500" s="17" t="str">
        <f>IF(ISBLANK(B500),"",VLOOKUP(B500,formules!E:K,7,0))</f>
        <v/>
      </c>
      <c r="G500" s="17" t="str">
        <f>IF(ISBLANK(B500),"",VLOOKUP(B500,formules!E:L,8,0))</f>
        <v/>
      </c>
      <c r="H500" s="1" t="str">
        <f t="shared" si="38"/>
        <v/>
      </c>
      <c r="I500" s="1"/>
      <c r="J500" s="1" t="str">
        <f t="shared" si="39"/>
        <v/>
      </c>
    </row>
    <row r="501" spans="1:10" x14ac:dyDescent="0.2">
      <c r="A501" s="1" t="str">
        <f t="shared" si="35"/>
        <v/>
      </c>
      <c r="B501" s="1"/>
      <c r="C501" s="15" t="str">
        <f t="shared" ca="1" si="36"/>
        <v/>
      </c>
      <c r="D501" s="1" t="str">
        <f>IF(ISBLANK(B501),"",VLOOKUP(B501,formules!E:F,2,0))</f>
        <v/>
      </c>
      <c r="E501" s="1" t="str">
        <f t="shared" si="37"/>
        <v/>
      </c>
      <c r="F501" s="17" t="str">
        <f>IF(ISBLANK(B501),"",VLOOKUP(B501,formules!E:K,7,0))</f>
        <v/>
      </c>
      <c r="G501" s="17" t="str">
        <f>IF(ISBLANK(B501),"",VLOOKUP(B501,formules!E:L,8,0))</f>
        <v/>
      </c>
      <c r="H501" s="1" t="str">
        <f t="shared" si="38"/>
        <v/>
      </c>
      <c r="I501" s="1"/>
      <c r="J501" s="1" t="str">
        <f t="shared" si="39"/>
        <v/>
      </c>
    </row>
    <row r="502" spans="1:10" x14ac:dyDescent="0.2">
      <c r="A502" s="1" t="str">
        <f t="shared" si="35"/>
        <v/>
      </c>
      <c r="B502" s="1"/>
      <c r="C502" s="15" t="str">
        <f t="shared" ca="1" si="36"/>
        <v/>
      </c>
      <c r="D502" s="1" t="str">
        <f>IF(ISBLANK(B502),"",VLOOKUP(B502,formules!E:F,2,0))</f>
        <v/>
      </c>
      <c r="E502" s="1" t="str">
        <f t="shared" si="37"/>
        <v/>
      </c>
      <c r="F502" s="17" t="str">
        <f>IF(ISBLANK(B502),"",VLOOKUP(B502,formules!E:K,7,0))</f>
        <v/>
      </c>
      <c r="G502" s="17" t="str">
        <f>IF(ISBLANK(B502),"",VLOOKUP(B502,formules!E:L,8,0))</f>
        <v/>
      </c>
      <c r="H502" s="1" t="str">
        <f t="shared" si="38"/>
        <v/>
      </c>
      <c r="I502" s="1"/>
      <c r="J502" s="1" t="str">
        <f t="shared" si="39"/>
        <v/>
      </c>
    </row>
    <row r="503" spans="1:10" x14ac:dyDescent="0.2">
      <c r="A503" s="1" t="str">
        <f t="shared" si="35"/>
        <v/>
      </c>
      <c r="B503" s="1"/>
      <c r="C503" s="15" t="str">
        <f t="shared" ca="1" si="36"/>
        <v/>
      </c>
      <c r="D503" s="1" t="str">
        <f>IF(ISBLANK(B503),"",VLOOKUP(B503,formules!E:F,2,0))</f>
        <v/>
      </c>
      <c r="E503" s="1" t="str">
        <f t="shared" si="37"/>
        <v/>
      </c>
      <c r="F503" s="17" t="str">
        <f>IF(ISBLANK(B503),"",VLOOKUP(B503,formules!E:K,7,0))</f>
        <v/>
      </c>
      <c r="G503" s="17" t="str">
        <f>IF(ISBLANK(B503),"",VLOOKUP(B503,formules!E:L,8,0))</f>
        <v/>
      </c>
      <c r="H503" s="1" t="str">
        <f t="shared" si="38"/>
        <v/>
      </c>
      <c r="I503" s="1"/>
      <c r="J503" s="1" t="str">
        <f t="shared" si="39"/>
        <v/>
      </c>
    </row>
    <row r="504" spans="1:10" x14ac:dyDescent="0.2">
      <c r="A504" s="1" t="str">
        <f t="shared" si="35"/>
        <v/>
      </c>
      <c r="B504" s="1"/>
      <c r="C504" s="15" t="str">
        <f t="shared" ca="1" si="36"/>
        <v/>
      </c>
      <c r="D504" s="1" t="str">
        <f>IF(ISBLANK(B504),"",VLOOKUP(B504,formules!E:F,2,0))</f>
        <v/>
      </c>
      <c r="E504" s="1" t="str">
        <f t="shared" si="37"/>
        <v/>
      </c>
      <c r="F504" s="17" t="str">
        <f>IF(ISBLANK(B504),"",VLOOKUP(B504,formules!E:K,7,0))</f>
        <v/>
      </c>
      <c r="G504" s="17" t="str">
        <f>IF(ISBLANK(B504),"",VLOOKUP(B504,formules!E:L,8,0))</f>
        <v/>
      </c>
      <c r="H504" s="1" t="str">
        <f t="shared" si="38"/>
        <v/>
      </c>
      <c r="I504" s="1"/>
      <c r="J504" s="1" t="str">
        <f t="shared" si="39"/>
        <v/>
      </c>
    </row>
    <row r="505" spans="1:10" x14ac:dyDescent="0.2">
      <c r="A505" s="1" t="str">
        <f t="shared" si="35"/>
        <v/>
      </c>
      <c r="B505" s="1"/>
      <c r="C505" s="15" t="str">
        <f t="shared" ca="1" si="36"/>
        <v/>
      </c>
      <c r="D505" s="1" t="str">
        <f>IF(ISBLANK(B505),"",VLOOKUP(B505,formules!E:F,2,0))</f>
        <v/>
      </c>
      <c r="E505" s="1" t="str">
        <f t="shared" si="37"/>
        <v/>
      </c>
      <c r="F505" s="17" t="str">
        <f>IF(ISBLANK(B505),"",VLOOKUP(B505,formules!E:K,7,0))</f>
        <v/>
      </c>
      <c r="G505" s="17" t="str">
        <f>IF(ISBLANK(B505),"",VLOOKUP(B505,formules!E:L,8,0))</f>
        <v/>
      </c>
      <c r="H505" s="1" t="str">
        <f t="shared" si="38"/>
        <v/>
      </c>
      <c r="I505" s="1"/>
      <c r="J505" s="1" t="str">
        <f t="shared" si="39"/>
        <v/>
      </c>
    </row>
    <row r="506" spans="1:10" x14ac:dyDescent="0.2">
      <c r="A506" s="1" t="str">
        <f t="shared" si="35"/>
        <v/>
      </c>
      <c r="B506" s="1"/>
      <c r="C506" s="15" t="str">
        <f t="shared" ca="1" si="36"/>
        <v/>
      </c>
      <c r="D506" s="1" t="str">
        <f>IF(ISBLANK(B506),"",VLOOKUP(B506,formules!E:F,2,0))</f>
        <v/>
      </c>
      <c r="E506" s="1" t="str">
        <f t="shared" si="37"/>
        <v/>
      </c>
      <c r="F506" s="17" t="str">
        <f>IF(ISBLANK(B506),"",VLOOKUP(B506,formules!E:K,7,0))</f>
        <v/>
      </c>
      <c r="G506" s="17" t="str">
        <f>IF(ISBLANK(B506),"",VLOOKUP(B506,formules!E:L,8,0))</f>
        <v/>
      </c>
      <c r="H506" s="1" t="str">
        <f t="shared" si="38"/>
        <v/>
      </c>
      <c r="I506" s="1"/>
      <c r="J506" s="1" t="str">
        <f t="shared" si="39"/>
        <v/>
      </c>
    </row>
    <row r="507" spans="1:10" x14ac:dyDescent="0.2">
      <c r="A507" s="1" t="str">
        <f t="shared" si="35"/>
        <v/>
      </c>
      <c r="B507" s="1"/>
      <c r="C507" s="15" t="str">
        <f t="shared" ca="1" si="36"/>
        <v/>
      </c>
      <c r="D507" s="1" t="str">
        <f>IF(ISBLANK(B507),"",VLOOKUP(B507,formules!E:F,2,0))</f>
        <v/>
      </c>
      <c r="E507" s="1" t="str">
        <f t="shared" si="37"/>
        <v/>
      </c>
      <c r="F507" s="17" t="str">
        <f>IF(ISBLANK(B507),"",VLOOKUP(B507,formules!E:K,7,0))</f>
        <v/>
      </c>
      <c r="G507" s="17" t="str">
        <f>IF(ISBLANK(B507),"",VLOOKUP(B507,formules!E:L,8,0))</f>
        <v/>
      </c>
      <c r="H507" s="1" t="str">
        <f t="shared" si="38"/>
        <v/>
      </c>
      <c r="I507" s="1"/>
      <c r="J507" s="1" t="str">
        <f t="shared" si="39"/>
        <v/>
      </c>
    </row>
    <row r="508" spans="1:10" x14ac:dyDescent="0.2">
      <c r="A508" s="1" t="str">
        <f t="shared" si="35"/>
        <v/>
      </c>
      <c r="B508" s="1"/>
      <c r="C508" s="15" t="str">
        <f t="shared" ca="1" si="36"/>
        <v/>
      </c>
      <c r="D508" s="1" t="str">
        <f>IF(ISBLANK(B508),"",VLOOKUP(B508,formules!E:F,2,0))</f>
        <v/>
      </c>
      <c r="E508" s="1" t="str">
        <f t="shared" si="37"/>
        <v/>
      </c>
      <c r="F508" s="17" t="str">
        <f>IF(ISBLANK(B508),"",VLOOKUP(B508,formules!E:K,7,0))</f>
        <v/>
      </c>
      <c r="G508" s="17" t="str">
        <f>IF(ISBLANK(B508),"",VLOOKUP(B508,formules!E:L,8,0))</f>
        <v/>
      </c>
      <c r="H508" s="1" t="str">
        <f t="shared" si="38"/>
        <v/>
      </c>
      <c r="I508" s="1"/>
      <c r="J508" s="1" t="str">
        <f t="shared" si="39"/>
        <v/>
      </c>
    </row>
    <row r="509" spans="1:10" x14ac:dyDescent="0.2">
      <c r="A509" s="1" t="str">
        <f t="shared" si="35"/>
        <v/>
      </c>
      <c r="B509" s="1"/>
      <c r="C509" s="15" t="str">
        <f t="shared" ca="1" si="36"/>
        <v/>
      </c>
      <c r="D509" s="1" t="str">
        <f>IF(ISBLANK(B509),"",VLOOKUP(B509,formules!E:F,2,0))</f>
        <v/>
      </c>
      <c r="E509" s="1" t="str">
        <f t="shared" si="37"/>
        <v/>
      </c>
      <c r="F509" s="17" t="str">
        <f>IF(ISBLANK(B509),"",VLOOKUP(B509,formules!E:K,7,0))</f>
        <v/>
      </c>
      <c r="G509" s="17" t="str">
        <f>IF(ISBLANK(B509),"",VLOOKUP(B509,formules!E:L,8,0))</f>
        <v/>
      </c>
      <c r="H509" s="1" t="str">
        <f t="shared" si="38"/>
        <v/>
      </c>
      <c r="I509" s="1"/>
      <c r="J509" s="1" t="str">
        <f t="shared" si="39"/>
        <v/>
      </c>
    </row>
    <row r="510" spans="1:10" x14ac:dyDescent="0.2">
      <c r="A510" s="1" t="str">
        <f t="shared" si="35"/>
        <v/>
      </c>
      <c r="B510" s="1"/>
      <c r="C510" s="15" t="str">
        <f t="shared" ca="1" si="36"/>
        <v/>
      </c>
      <c r="D510" s="1" t="str">
        <f>IF(ISBLANK(B510),"",VLOOKUP(B510,formules!E:F,2,0))</f>
        <v/>
      </c>
      <c r="E510" s="1" t="str">
        <f t="shared" si="37"/>
        <v/>
      </c>
      <c r="F510" s="17" t="str">
        <f>IF(ISBLANK(B510),"",VLOOKUP(B510,formules!E:K,7,0))</f>
        <v/>
      </c>
      <c r="G510" s="17" t="str">
        <f>IF(ISBLANK(B510),"",VLOOKUP(B510,formules!E:L,8,0))</f>
        <v/>
      </c>
      <c r="H510" s="1" t="str">
        <f t="shared" si="38"/>
        <v/>
      </c>
      <c r="I510" s="1"/>
      <c r="J510" s="1" t="str">
        <f t="shared" si="39"/>
        <v/>
      </c>
    </row>
    <row r="511" spans="1:10" x14ac:dyDescent="0.2">
      <c r="A511" s="1" t="str">
        <f t="shared" si="35"/>
        <v/>
      </c>
      <c r="B511" s="1"/>
      <c r="C511" s="15" t="str">
        <f t="shared" ca="1" si="36"/>
        <v/>
      </c>
      <c r="D511" s="1" t="str">
        <f>IF(ISBLANK(B511),"",VLOOKUP(B511,formules!E:F,2,0))</f>
        <v/>
      </c>
      <c r="E511" s="1" t="str">
        <f t="shared" si="37"/>
        <v/>
      </c>
      <c r="F511" s="17" t="str">
        <f>IF(ISBLANK(B511),"",VLOOKUP(B511,formules!E:K,7,0))</f>
        <v/>
      </c>
      <c r="G511" s="17" t="str">
        <f>IF(ISBLANK(B511),"",VLOOKUP(B511,formules!E:L,8,0))</f>
        <v/>
      </c>
      <c r="H511" s="1" t="str">
        <f t="shared" si="38"/>
        <v/>
      </c>
      <c r="I511" s="1"/>
      <c r="J511" s="1" t="str">
        <f t="shared" si="39"/>
        <v/>
      </c>
    </row>
    <row r="512" spans="1:10" x14ac:dyDescent="0.2">
      <c r="A512" s="1" t="str">
        <f t="shared" si="35"/>
        <v/>
      </c>
      <c r="B512" s="1"/>
      <c r="C512" s="15" t="str">
        <f t="shared" ca="1" si="36"/>
        <v/>
      </c>
      <c r="D512" s="1" t="str">
        <f>IF(ISBLANK(B512),"",VLOOKUP(B512,formules!E:F,2,0))</f>
        <v/>
      </c>
      <c r="E512" s="1" t="str">
        <f t="shared" si="37"/>
        <v/>
      </c>
      <c r="F512" s="17" t="str">
        <f>IF(ISBLANK(B512),"",VLOOKUP(B512,formules!E:K,7,0))</f>
        <v/>
      </c>
      <c r="G512" s="17" t="str">
        <f>IF(ISBLANK(B512),"",VLOOKUP(B512,formules!E:L,8,0))</f>
        <v/>
      </c>
      <c r="H512" s="1" t="str">
        <f t="shared" si="38"/>
        <v/>
      </c>
      <c r="I512" s="1"/>
      <c r="J512" s="1" t="str">
        <f t="shared" si="39"/>
        <v/>
      </c>
    </row>
    <row r="513" spans="1:10" x14ac:dyDescent="0.2">
      <c r="A513" s="1" t="str">
        <f t="shared" si="35"/>
        <v/>
      </c>
      <c r="B513" s="1"/>
      <c r="C513" s="15" t="str">
        <f t="shared" ca="1" si="36"/>
        <v/>
      </c>
      <c r="D513" s="1" t="str">
        <f>IF(ISBLANK(B513),"",VLOOKUP(B513,formules!E:F,2,0))</f>
        <v/>
      </c>
      <c r="E513" s="1" t="str">
        <f t="shared" si="37"/>
        <v/>
      </c>
      <c r="F513" s="17" t="str">
        <f>IF(ISBLANK(B513),"",VLOOKUP(B513,formules!E:K,7,0))</f>
        <v/>
      </c>
      <c r="G513" s="17" t="str">
        <f>IF(ISBLANK(B513),"",VLOOKUP(B513,formules!E:L,8,0))</f>
        <v/>
      </c>
      <c r="H513" s="1" t="str">
        <f t="shared" si="38"/>
        <v/>
      </c>
      <c r="I513" s="1"/>
      <c r="J513" s="1" t="str">
        <f t="shared" si="39"/>
        <v/>
      </c>
    </row>
    <row r="514" spans="1:10" x14ac:dyDescent="0.2">
      <c r="A514" s="1" t="str">
        <f t="shared" si="35"/>
        <v/>
      </c>
      <c r="B514" s="1"/>
      <c r="C514" s="15" t="str">
        <f t="shared" ca="1" si="36"/>
        <v/>
      </c>
      <c r="D514" s="1" t="str">
        <f>IF(ISBLANK(B514),"",VLOOKUP(B514,formules!E:F,2,0))</f>
        <v/>
      </c>
      <c r="E514" s="1" t="str">
        <f t="shared" si="37"/>
        <v/>
      </c>
      <c r="F514" s="17" t="str">
        <f>IF(ISBLANK(B514),"",VLOOKUP(B514,formules!E:K,7,0))</f>
        <v/>
      </c>
      <c r="G514" s="17" t="str">
        <f>IF(ISBLANK(B514),"",VLOOKUP(B514,formules!E:L,8,0))</f>
        <v/>
      </c>
      <c r="H514" s="1" t="str">
        <f t="shared" si="38"/>
        <v/>
      </c>
      <c r="I514" s="1"/>
      <c r="J514" s="1" t="str">
        <f t="shared" si="39"/>
        <v/>
      </c>
    </row>
    <row r="515" spans="1:10" x14ac:dyDescent="0.2">
      <c r="A515" s="1" t="str">
        <f t="shared" ref="A515:A578" si="40">IF(ISBLANK(B515),"","variation")</f>
        <v/>
      </c>
      <c r="B515" s="1"/>
      <c r="C515" s="15" t="str">
        <f t="shared" ref="C515:C578" ca="1" si="41">IF(ISBLANK(B515),"",RANDBETWEEN(1111111111111,9999999999999))</f>
        <v/>
      </c>
      <c r="D515" s="1" t="str">
        <f>IF(ISBLANK(B515),"",VLOOKUP(B515,formules!E:F,2,0))</f>
        <v/>
      </c>
      <c r="E515" s="1" t="str">
        <f t="shared" ref="E515:E578" si="42">IF(ISBLANK(B515),"",1)</f>
        <v/>
      </c>
      <c r="F515" s="17" t="str">
        <f>IF(ISBLANK(B515),"",VLOOKUP(B515,formules!E:K,7,0))</f>
        <v/>
      </c>
      <c r="G515" s="17" t="str">
        <f>IF(ISBLANK(B515),"",VLOOKUP(B515,formules!E:L,8,0))</f>
        <v/>
      </c>
      <c r="H515" s="1" t="str">
        <f t="shared" ref="H515:H578" si="43">IF(ISBLANK(B515),"","Size")</f>
        <v/>
      </c>
      <c r="I515" s="1"/>
      <c r="J515" s="1" t="str">
        <f t="shared" ref="J515:J578" si="44">IF(ISBLANK(B515),"",1)</f>
        <v/>
      </c>
    </row>
    <row r="516" spans="1:10" x14ac:dyDescent="0.2">
      <c r="A516" s="1" t="str">
        <f t="shared" si="40"/>
        <v/>
      </c>
      <c r="B516" s="1"/>
      <c r="C516" s="15" t="str">
        <f t="shared" ca="1" si="41"/>
        <v/>
      </c>
      <c r="D516" s="1" t="str">
        <f>IF(ISBLANK(B516),"",VLOOKUP(B516,formules!E:F,2,0))</f>
        <v/>
      </c>
      <c r="E516" s="1" t="str">
        <f t="shared" si="42"/>
        <v/>
      </c>
      <c r="F516" s="17" t="str">
        <f>IF(ISBLANK(B516),"",VLOOKUP(B516,formules!E:K,7,0))</f>
        <v/>
      </c>
      <c r="G516" s="17" t="str">
        <f>IF(ISBLANK(B516),"",VLOOKUP(B516,formules!E:L,8,0))</f>
        <v/>
      </c>
      <c r="H516" s="1" t="str">
        <f t="shared" si="43"/>
        <v/>
      </c>
      <c r="I516" s="1"/>
      <c r="J516" s="1" t="str">
        <f t="shared" si="44"/>
        <v/>
      </c>
    </row>
    <row r="517" spans="1:10" x14ac:dyDescent="0.2">
      <c r="A517" s="1" t="str">
        <f t="shared" si="40"/>
        <v/>
      </c>
      <c r="B517" s="1"/>
      <c r="C517" s="15" t="str">
        <f t="shared" ca="1" si="41"/>
        <v/>
      </c>
      <c r="D517" s="1" t="str">
        <f>IF(ISBLANK(B517),"",VLOOKUP(B517,formules!E:F,2,0))</f>
        <v/>
      </c>
      <c r="E517" s="1" t="str">
        <f t="shared" si="42"/>
        <v/>
      </c>
      <c r="F517" s="17" t="str">
        <f>IF(ISBLANK(B517),"",VLOOKUP(B517,formules!E:K,7,0))</f>
        <v/>
      </c>
      <c r="G517" s="17" t="str">
        <f>IF(ISBLANK(B517),"",VLOOKUP(B517,formules!E:L,8,0))</f>
        <v/>
      </c>
      <c r="H517" s="1" t="str">
        <f t="shared" si="43"/>
        <v/>
      </c>
      <c r="I517" s="1"/>
      <c r="J517" s="1" t="str">
        <f t="shared" si="44"/>
        <v/>
      </c>
    </row>
    <row r="518" spans="1:10" x14ac:dyDescent="0.2">
      <c r="A518" s="1" t="str">
        <f t="shared" si="40"/>
        <v/>
      </c>
      <c r="B518" s="1"/>
      <c r="C518" s="15" t="str">
        <f t="shared" ca="1" si="41"/>
        <v/>
      </c>
      <c r="D518" s="1" t="str">
        <f>IF(ISBLANK(B518),"",VLOOKUP(B518,formules!E:F,2,0))</f>
        <v/>
      </c>
      <c r="E518" s="1" t="str">
        <f t="shared" si="42"/>
        <v/>
      </c>
      <c r="F518" s="17" t="str">
        <f>IF(ISBLANK(B518),"",VLOOKUP(B518,formules!E:K,7,0))</f>
        <v/>
      </c>
      <c r="G518" s="17" t="str">
        <f>IF(ISBLANK(B518),"",VLOOKUP(B518,formules!E:L,8,0))</f>
        <v/>
      </c>
      <c r="H518" s="1" t="str">
        <f t="shared" si="43"/>
        <v/>
      </c>
      <c r="I518" s="1"/>
      <c r="J518" s="1" t="str">
        <f t="shared" si="44"/>
        <v/>
      </c>
    </row>
    <row r="519" spans="1:10" x14ac:dyDescent="0.2">
      <c r="A519" s="1" t="str">
        <f t="shared" si="40"/>
        <v/>
      </c>
      <c r="B519" s="1"/>
      <c r="C519" s="15" t="str">
        <f t="shared" ca="1" si="41"/>
        <v/>
      </c>
      <c r="D519" s="1" t="str">
        <f>IF(ISBLANK(B519),"",VLOOKUP(B519,formules!E:F,2,0))</f>
        <v/>
      </c>
      <c r="E519" s="1" t="str">
        <f t="shared" si="42"/>
        <v/>
      </c>
      <c r="F519" s="17" t="str">
        <f>IF(ISBLANK(B519),"",VLOOKUP(B519,formules!E:K,7,0))</f>
        <v/>
      </c>
      <c r="G519" s="17" t="str">
        <f>IF(ISBLANK(B519),"",VLOOKUP(B519,formules!E:L,8,0))</f>
        <v/>
      </c>
      <c r="H519" s="1" t="str">
        <f t="shared" si="43"/>
        <v/>
      </c>
      <c r="I519" s="1"/>
      <c r="J519" s="1" t="str">
        <f t="shared" si="44"/>
        <v/>
      </c>
    </row>
    <row r="520" spans="1:10" x14ac:dyDescent="0.2">
      <c r="A520" s="1" t="str">
        <f t="shared" si="40"/>
        <v/>
      </c>
      <c r="B520" s="1"/>
      <c r="C520" s="15" t="str">
        <f t="shared" ca="1" si="41"/>
        <v/>
      </c>
      <c r="D520" s="1" t="str">
        <f>IF(ISBLANK(B520),"",VLOOKUP(B520,formules!E:F,2,0))</f>
        <v/>
      </c>
      <c r="E520" s="1" t="str">
        <f t="shared" si="42"/>
        <v/>
      </c>
      <c r="F520" s="17" t="str">
        <f>IF(ISBLANK(B520),"",VLOOKUP(B520,formules!E:K,7,0))</f>
        <v/>
      </c>
      <c r="G520" s="17" t="str">
        <f>IF(ISBLANK(B520),"",VLOOKUP(B520,formules!E:L,8,0))</f>
        <v/>
      </c>
      <c r="H520" s="1" t="str">
        <f t="shared" si="43"/>
        <v/>
      </c>
      <c r="I520" s="1"/>
      <c r="J520" s="1" t="str">
        <f t="shared" si="44"/>
        <v/>
      </c>
    </row>
    <row r="521" spans="1:10" x14ac:dyDescent="0.2">
      <c r="A521" s="1" t="str">
        <f t="shared" si="40"/>
        <v/>
      </c>
      <c r="B521" s="1"/>
      <c r="C521" s="15" t="str">
        <f t="shared" ca="1" si="41"/>
        <v/>
      </c>
      <c r="D521" s="1" t="str">
        <f>IF(ISBLANK(B521),"",VLOOKUP(B521,formules!E:F,2,0))</f>
        <v/>
      </c>
      <c r="E521" s="1" t="str">
        <f t="shared" si="42"/>
        <v/>
      </c>
      <c r="F521" s="17" t="str">
        <f>IF(ISBLANK(B521),"",VLOOKUP(B521,formules!E:K,7,0))</f>
        <v/>
      </c>
      <c r="G521" s="17" t="str">
        <f>IF(ISBLANK(B521),"",VLOOKUP(B521,formules!E:L,8,0))</f>
        <v/>
      </c>
      <c r="H521" s="1" t="str">
        <f t="shared" si="43"/>
        <v/>
      </c>
      <c r="I521" s="1"/>
      <c r="J521" s="1" t="str">
        <f t="shared" si="44"/>
        <v/>
      </c>
    </row>
    <row r="522" spans="1:10" x14ac:dyDescent="0.2">
      <c r="A522" s="1" t="str">
        <f t="shared" si="40"/>
        <v/>
      </c>
      <c r="B522" s="1"/>
      <c r="C522" s="15" t="str">
        <f t="shared" ca="1" si="41"/>
        <v/>
      </c>
      <c r="D522" s="1" t="str">
        <f>IF(ISBLANK(B522),"",VLOOKUP(B522,formules!E:F,2,0))</f>
        <v/>
      </c>
      <c r="E522" s="1" t="str">
        <f t="shared" si="42"/>
        <v/>
      </c>
      <c r="F522" s="17" t="str">
        <f>IF(ISBLANK(B522),"",VLOOKUP(B522,formules!E:K,7,0))</f>
        <v/>
      </c>
      <c r="G522" s="17" t="str">
        <f>IF(ISBLANK(B522),"",VLOOKUP(B522,formules!E:L,8,0))</f>
        <v/>
      </c>
      <c r="H522" s="1" t="str">
        <f t="shared" si="43"/>
        <v/>
      </c>
      <c r="I522" s="1"/>
      <c r="J522" s="1" t="str">
        <f t="shared" si="44"/>
        <v/>
      </c>
    </row>
    <row r="523" spans="1:10" x14ac:dyDescent="0.2">
      <c r="A523" s="1" t="str">
        <f t="shared" si="40"/>
        <v/>
      </c>
      <c r="B523" s="1"/>
      <c r="C523" s="15" t="str">
        <f t="shared" ca="1" si="41"/>
        <v/>
      </c>
      <c r="D523" s="1" t="str">
        <f>IF(ISBLANK(B523),"",VLOOKUP(B523,formules!E:F,2,0))</f>
        <v/>
      </c>
      <c r="E523" s="1" t="str">
        <f t="shared" si="42"/>
        <v/>
      </c>
      <c r="F523" s="17" t="str">
        <f>IF(ISBLANK(B523),"",VLOOKUP(B523,formules!E:K,7,0))</f>
        <v/>
      </c>
      <c r="G523" s="17" t="str">
        <f>IF(ISBLANK(B523),"",VLOOKUP(B523,formules!E:L,8,0))</f>
        <v/>
      </c>
      <c r="H523" s="1" t="str">
        <f t="shared" si="43"/>
        <v/>
      </c>
      <c r="I523" s="1"/>
      <c r="J523" s="1" t="str">
        <f t="shared" si="44"/>
        <v/>
      </c>
    </row>
    <row r="524" spans="1:10" x14ac:dyDescent="0.2">
      <c r="A524" s="1" t="str">
        <f t="shared" si="40"/>
        <v/>
      </c>
      <c r="B524" s="1"/>
      <c r="C524" s="15" t="str">
        <f t="shared" ca="1" si="41"/>
        <v/>
      </c>
      <c r="D524" s="1" t="str">
        <f>IF(ISBLANK(B524),"",VLOOKUP(B524,formules!E:F,2,0))</f>
        <v/>
      </c>
      <c r="E524" s="1" t="str">
        <f t="shared" si="42"/>
        <v/>
      </c>
      <c r="F524" s="17" t="str">
        <f>IF(ISBLANK(B524),"",VLOOKUP(B524,formules!E:K,7,0))</f>
        <v/>
      </c>
      <c r="G524" s="17" t="str">
        <f>IF(ISBLANK(B524),"",VLOOKUP(B524,formules!E:L,8,0))</f>
        <v/>
      </c>
      <c r="H524" s="1" t="str">
        <f t="shared" si="43"/>
        <v/>
      </c>
      <c r="I524" s="1"/>
      <c r="J524" s="1" t="str">
        <f t="shared" si="44"/>
        <v/>
      </c>
    </row>
    <row r="525" spans="1:10" x14ac:dyDescent="0.2">
      <c r="A525" s="1" t="str">
        <f t="shared" si="40"/>
        <v/>
      </c>
      <c r="B525" s="1"/>
      <c r="C525" s="15" t="str">
        <f t="shared" ca="1" si="41"/>
        <v/>
      </c>
      <c r="D525" s="1" t="str">
        <f>IF(ISBLANK(B525),"",VLOOKUP(B525,formules!E:F,2,0))</f>
        <v/>
      </c>
      <c r="E525" s="1" t="str">
        <f t="shared" si="42"/>
        <v/>
      </c>
      <c r="F525" s="17" t="str">
        <f>IF(ISBLANK(B525),"",VLOOKUP(B525,formules!E:K,7,0))</f>
        <v/>
      </c>
      <c r="G525" s="17" t="str">
        <f>IF(ISBLANK(B525),"",VLOOKUP(B525,formules!E:L,8,0))</f>
        <v/>
      </c>
      <c r="H525" s="1" t="str">
        <f t="shared" si="43"/>
        <v/>
      </c>
      <c r="I525" s="1"/>
      <c r="J525" s="1" t="str">
        <f t="shared" si="44"/>
        <v/>
      </c>
    </row>
    <row r="526" spans="1:10" x14ac:dyDescent="0.2">
      <c r="A526" s="1" t="str">
        <f t="shared" si="40"/>
        <v/>
      </c>
      <c r="B526" s="1"/>
      <c r="C526" s="15" t="str">
        <f t="shared" ca="1" si="41"/>
        <v/>
      </c>
      <c r="D526" s="1" t="str">
        <f>IF(ISBLANK(B526),"",VLOOKUP(B526,formules!E:F,2,0))</f>
        <v/>
      </c>
      <c r="E526" s="1" t="str">
        <f t="shared" si="42"/>
        <v/>
      </c>
      <c r="F526" s="17" t="str">
        <f>IF(ISBLANK(B526),"",VLOOKUP(B526,formules!E:K,7,0))</f>
        <v/>
      </c>
      <c r="G526" s="17" t="str">
        <f>IF(ISBLANK(B526),"",VLOOKUP(B526,formules!E:L,8,0))</f>
        <v/>
      </c>
      <c r="H526" s="1" t="str">
        <f t="shared" si="43"/>
        <v/>
      </c>
      <c r="I526" s="1"/>
      <c r="J526" s="1" t="str">
        <f t="shared" si="44"/>
        <v/>
      </c>
    </row>
    <row r="527" spans="1:10" x14ac:dyDescent="0.2">
      <c r="A527" s="1" t="str">
        <f t="shared" si="40"/>
        <v/>
      </c>
      <c r="B527" s="1"/>
      <c r="C527" s="15" t="str">
        <f t="shared" ca="1" si="41"/>
        <v/>
      </c>
      <c r="D527" s="1" t="str">
        <f>IF(ISBLANK(B527),"",VLOOKUP(B527,formules!E:F,2,0))</f>
        <v/>
      </c>
      <c r="E527" s="1" t="str">
        <f t="shared" si="42"/>
        <v/>
      </c>
      <c r="F527" s="17" t="str">
        <f>IF(ISBLANK(B527),"",VLOOKUP(B527,formules!E:K,7,0))</f>
        <v/>
      </c>
      <c r="G527" s="17" t="str">
        <f>IF(ISBLANK(B527),"",VLOOKUP(B527,formules!E:L,8,0))</f>
        <v/>
      </c>
      <c r="H527" s="1" t="str">
        <f t="shared" si="43"/>
        <v/>
      </c>
      <c r="I527" s="1"/>
      <c r="J527" s="1" t="str">
        <f t="shared" si="44"/>
        <v/>
      </c>
    </row>
    <row r="528" spans="1:10" x14ac:dyDescent="0.2">
      <c r="A528" s="1" t="str">
        <f t="shared" si="40"/>
        <v/>
      </c>
      <c r="B528" s="1"/>
      <c r="C528" s="15" t="str">
        <f t="shared" ca="1" si="41"/>
        <v/>
      </c>
      <c r="D528" s="1" t="str">
        <f>IF(ISBLANK(B528),"",VLOOKUP(B528,formules!E:F,2,0))</f>
        <v/>
      </c>
      <c r="E528" s="1" t="str">
        <f t="shared" si="42"/>
        <v/>
      </c>
      <c r="F528" s="17" t="str">
        <f>IF(ISBLANK(B528),"",VLOOKUP(B528,formules!E:K,7,0))</f>
        <v/>
      </c>
      <c r="G528" s="17" t="str">
        <f>IF(ISBLANK(B528),"",VLOOKUP(B528,formules!E:L,8,0))</f>
        <v/>
      </c>
      <c r="H528" s="1" t="str">
        <f t="shared" si="43"/>
        <v/>
      </c>
      <c r="I528" s="1"/>
      <c r="J528" s="1" t="str">
        <f t="shared" si="44"/>
        <v/>
      </c>
    </row>
    <row r="529" spans="1:10" x14ac:dyDescent="0.2">
      <c r="A529" s="1" t="str">
        <f t="shared" si="40"/>
        <v/>
      </c>
      <c r="B529" s="1"/>
      <c r="C529" s="15" t="str">
        <f t="shared" ca="1" si="41"/>
        <v/>
      </c>
      <c r="D529" s="1" t="str">
        <f>IF(ISBLANK(B529),"",VLOOKUP(B529,formules!E:F,2,0))</f>
        <v/>
      </c>
      <c r="E529" s="1" t="str">
        <f t="shared" si="42"/>
        <v/>
      </c>
      <c r="F529" s="17" t="str">
        <f>IF(ISBLANK(B529),"",VLOOKUP(B529,formules!E:K,7,0))</f>
        <v/>
      </c>
      <c r="G529" s="17" t="str">
        <f>IF(ISBLANK(B529),"",VLOOKUP(B529,formules!E:L,8,0))</f>
        <v/>
      </c>
      <c r="H529" s="1" t="str">
        <f t="shared" si="43"/>
        <v/>
      </c>
      <c r="I529" s="1"/>
      <c r="J529" s="1" t="str">
        <f t="shared" si="44"/>
        <v/>
      </c>
    </row>
    <row r="530" spans="1:10" x14ac:dyDescent="0.2">
      <c r="A530" s="1" t="str">
        <f t="shared" si="40"/>
        <v/>
      </c>
      <c r="B530" s="1"/>
      <c r="C530" s="15" t="str">
        <f t="shared" ca="1" si="41"/>
        <v/>
      </c>
      <c r="D530" s="1" t="str">
        <f>IF(ISBLANK(B530),"",VLOOKUP(B530,formules!E:F,2,0))</f>
        <v/>
      </c>
      <c r="E530" s="1" t="str">
        <f t="shared" si="42"/>
        <v/>
      </c>
      <c r="F530" s="17" t="str">
        <f>IF(ISBLANK(B530),"",VLOOKUP(B530,formules!E:K,7,0))</f>
        <v/>
      </c>
      <c r="G530" s="17" t="str">
        <f>IF(ISBLANK(B530),"",VLOOKUP(B530,formules!E:L,8,0))</f>
        <v/>
      </c>
      <c r="H530" s="1" t="str">
        <f t="shared" si="43"/>
        <v/>
      </c>
      <c r="I530" s="1"/>
      <c r="J530" s="1" t="str">
        <f t="shared" si="44"/>
        <v/>
      </c>
    </row>
    <row r="531" spans="1:10" x14ac:dyDescent="0.2">
      <c r="A531" s="1" t="str">
        <f t="shared" si="40"/>
        <v/>
      </c>
      <c r="B531" s="1"/>
      <c r="C531" s="15" t="str">
        <f t="shared" ca="1" si="41"/>
        <v/>
      </c>
      <c r="D531" s="1" t="str">
        <f>IF(ISBLANK(B531),"",VLOOKUP(B531,formules!E:F,2,0))</f>
        <v/>
      </c>
      <c r="E531" s="1" t="str">
        <f t="shared" si="42"/>
        <v/>
      </c>
      <c r="F531" s="17" t="str">
        <f>IF(ISBLANK(B531),"",VLOOKUP(B531,formules!E:K,7,0))</f>
        <v/>
      </c>
      <c r="G531" s="17" t="str">
        <f>IF(ISBLANK(B531),"",VLOOKUP(B531,formules!E:L,8,0))</f>
        <v/>
      </c>
      <c r="H531" s="1" t="str">
        <f t="shared" si="43"/>
        <v/>
      </c>
      <c r="I531" s="1"/>
      <c r="J531" s="1" t="str">
        <f t="shared" si="44"/>
        <v/>
      </c>
    </row>
    <row r="532" spans="1:10" x14ac:dyDescent="0.2">
      <c r="A532" s="1" t="str">
        <f t="shared" si="40"/>
        <v/>
      </c>
      <c r="B532" s="1"/>
      <c r="C532" s="15" t="str">
        <f t="shared" ca="1" si="41"/>
        <v/>
      </c>
      <c r="D532" s="1" t="str">
        <f>IF(ISBLANK(B532),"",VLOOKUP(B532,formules!E:F,2,0))</f>
        <v/>
      </c>
      <c r="E532" s="1" t="str">
        <f t="shared" si="42"/>
        <v/>
      </c>
      <c r="F532" s="17" t="str">
        <f>IF(ISBLANK(B532),"",VLOOKUP(B532,formules!E:K,7,0))</f>
        <v/>
      </c>
      <c r="G532" s="17" t="str">
        <f>IF(ISBLANK(B532),"",VLOOKUP(B532,formules!E:L,8,0))</f>
        <v/>
      </c>
      <c r="H532" s="1" t="str">
        <f t="shared" si="43"/>
        <v/>
      </c>
      <c r="I532" s="1"/>
      <c r="J532" s="1" t="str">
        <f t="shared" si="44"/>
        <v/>
      </c>
    </row>
    <row r="533" spans="1:10" x14ac:dyDescent="0.2">
      <c r="A533" s="1" t="str">
        <f t="shared" si="40"/>
        <v/>
      </c>
      <c r="B533" s="1"/>
      <c r="C533" s="15" t="str">
        <f t="shared" ca="1" si="41"/>
        <v/>
      </c>
      <c r="D533" s="1" t="str">
        <f>IF(ISBLANK(B533),"",VLOOKUP(B533,formules!E:F,2,0))</f>
        <v/>
      </c>
      <c r="E533" s="1" t="str">
        <f t="shared" si="42"/>
        <v/>
      </c>
      <c r="F533" s="17" t="str">
        <f>IF(ISBLANK(B533),"",VLOOKUP(B533,formules!E:K,7,0))</f>
        <v/>
      </c>
      <c r="G533" s="17" t="str">
        <f>IF(ISBLANK(B533),"",VLOOKUP(B533,formules!E:L,8,0))</f>
        <v/>
      </c>
      <c r="H533" s="1" t="str">
        <f t="shared" si="43"/>
        <v/>
      </c>
      <c r="I533" s="1"/>
      <c r="J533" s="1" t="str">
        <f t="shared" si="44"/>
        <v/>
      </c>
    </row>
    <row r="534" spans="1:10" x14ac:dyDescent="0.2">
      <c r="A534" s="1" t="str">
        <f t="shared" si="40"/>
        <v/>
      </c>
      <c r="B534" s="1"/>
      <c r="C534" s="15" t="str">
        <f t="shared" ca="1" si="41"/>
        <v/>
      </c>
      <c r="D534" s="1" t="str">
        <f>IF(ISBLANK(B534),"",VLOOKUP(B534,formules!E:F,2,0))</f>
        <v/>
      </c>
      <c r="E534" s="1" t="str">
        <f t="shared" si="42"/>
        <v/>
      </c>
      <c r="F534" s="17" t="str">
        <f>IF(ISBLANK(B534),"",VLOOKUP(B534,formules!E:K,7,0))</f>
        <v/>
      </c>
      <c r="G534" s="17" t="str">
        <f>IF(ISBLANK(B534),"",VLOOKUP(B534,formules!E:L,8,0))</f>
        <v/>
      </c>
      <c r="H534" s="1" t="str">
        <f t="shared" si="43"/>
        <v/>
      </c>
      <c r="I534" s="1"/>
      <c r="J534" s="1" t="str">
        <f t="shared" si="44"/>
        <v/>
      </c>
    </row>
    <row r="535" spans="1:10" x14ac:dyDescent="0.2">
      <c r="A535" s="1" t="str">
        <f t="shared" si="40"/>
        <v/>
      </c>
      <c r="B535" s="1"/>
      <c r="C535" s="15" t="str">
        <f t="shared" ca="1" si="41"/>
        <v/>
      </c>
      <c r="D535" s="1" t="str">
        <f>IF(ISBLANK(B535),"",VLOOKUP(B535,formules!E:F,2,0))</f>
        <v/>
      </c>
      <c r="E535" s="1" t="str">
        <f t="shared" si="42"/>
        <v/>
      </c>
      <c r="F535" s="17" t="str">
        <f>IF(ISBLANK(B535),"",VLOOKUP(B535,formules!E:K,7,0))</f>
        <v/>
      </c>
      <c r="G535" s="17" t="str">
        <f>IF(ISBLANK(B535),"",VLOOKUP(B535,formules!E:L,8,0))</f>
        <v/>
      </c>
      <c r="H535" s="1" t="str">
        <f t="shared" si="43"/>
        <v/>
      </c>
      <c r="I535" s="1"/>
      <c r="J535" s="1" t="str">
        <f t="shared" si="44"/>
        <v/>
      </c>
    </row>
    <row r="536" spans="1:10" x14ac:dyDescent="0.2">
      <c r="A536" s="1" t="str">
        <f t="shared" si="40"/>
        <v/>
      </c>
      <c r="B536" s="1"/>
      <c r="C536" s="15" t="str">
        <f t="shared" ca="1" si="41"/>
        <v/>
      </c>
      <c r="D536" s="1" t="str">
        <f>IF(ISBLANK(B536),"",VLOOKUP(B536,formules!E:F,2,0))</f>
        <v/>
      </c>
      <c r="E536" s="1" t="str">
        <f t="shared" si="42"/>
        <v/>
      </c>
      <c r="F536" s="17" t="str">
        <f>IF(ISBLANK(B536),"",VLOOKUP(B536,formules!E:K,7,0))</f>
        <v/>
      </c>
      <c r="G536" s="17" t="str">
        <f>IF(ISBLANK(B536),"",VLOOKUP(B536,formules!E:L,8,0))</f>
        <v/>
      </c>
      <c r="H536" s="1" t="str">
        <f t="shared" si="43"/>
        <v/>
      </c>
      <c r="I536" s="1"/>
      <c r="J536" s="1" t="str">
        <f t="shared" si="44"/>
        <v/>
      </c>
    </row>
    <row r="537" spans="1:10" x14ac:dyDescent="0.2">
      <c r="A537" s="1" t="str">
        <f t="shared" si="40"/>
        <v/>
      </c>
      <c r="B537" s="1"/>
      <c r="C537" s="15" t="str">
        <f t="shared" ca="1" si="41"/>
        <v/>
      </c>
      <c r="D537" s="1" t="str">
        <f>IF(ISBLANK(B537),"",VLOOKUP(B537,formules!E:F,2,0))</f>
        <v/>
      </c>
      <c r="E537" s="1" t="str">
        <f t="shared" si="42"/>
        <v/>
      </c>
      <c r="F537" s="17" t="str">
        <f>IF(ISBLANK(B537),"",VLOOKUP(B537,formules!E:K,7,0))</f>
        <v/>
      </c>
      <c r="G537" s="17" t="str">
        <f>IF(ISBLANK(B537),"",VLOOKUP(B537,formules!E:L,8,0))</f>
        <v/>
      </c>
      <c r="H537" s="1" t="str">
        <f t="shared" si="43"/>
        <v/>
      </c>
      <c r="I537" s="1"/>
      <c r="J537" s="1" t="str">
        <f t="shared" si="44"/>
        <v/>
      </c>
    </row>
    <row r="538" spans="1:10" x14ac:dyDescent="0.2">
      <c r="A538" s="1" t="str">
        <f t="shared" si="40"/>
        <v/>
      </c>
      <c r="B538" s="1"/>
      <c r="C538" s="15" t="str">
        <f t="shared" ca="1" si="41"/>
        <v/>
      </c>
      <c r="D538" s="1" t="str">
        <f>IF(ISBLANK(B538),"",VLOOKUP(B538,formules!E:F,2,0))</f>
        <v/>
      </c>
      <c r="E538" s="1" t="str">
        <f t="shared" si="42"/>
        <v/>
      </c>
      <c r="F538" s="17" t="str">
        <f>IF(ISBLANK(B538),"",VLOOKUP(B538,formules!E:K,7,0))</f>
        <v/>
      </c>
      <c r="G538" s="17" t="str">
        <f>IF(ISBLANK(B538),"",VLOOKUP(B538,formules!E:L,8,0))</f>
        <v/>
      </c>
      <c r="H538" s="1" t="str">
        <f t="shared" si="43"/>
        <v/>
      </c>
      <c r="I538" s="1"/>
      <c r="J538" s="1" t="str">
        <f t="shared" si="44"/>
        <v/>
      </c>
    </row>
    <row r="539" spans="1:10" x14ac:dyDescent="0.2">
      <c r="A539" s="1" t="str">
        <f t="shared" si="40"/>
        <v/>
      </c>
      <c r="B539" s="1"/>
      <c r="C539" s="15" t="str">
        <f t="shared" ca="1" si="41"/>
        <v/>
      </c>
      <c r="D539" s="1" t="str">
        <f>IF(ISBLANK(B539),"",VLOOKUP(B539,formules!E:F,2,0))</f>
        <v/>
      </c>
      <c r="E539" s="1" t="str">
        <f t="shared" si="42"/>
        <v/>
      </c>
      <c r="F539" s="17" t="str">
        <f>IF(ISBLANK(B539),"",VLOOKUP(B539,formules!E:K,7,0))</f>
        <v/>
      </c>
      <c r="G539" s="17" t="str">
        <f>IF(ISBLANK(B539),"",VLOOKUP(B539,formules!E:L,8,0))</f>
        <v/>
      </c>
      <c r="H539" s="1" t="str">
        <f t="shared" si="43"/>
        <v/>
      </c>
      <c r="I539" s="1"/>
      <c r="J539" s="1" t="str">
        <f t="shared" si="44"/>
        <v/>
      </c>
    </row>
    <row r="540" spans="1:10" x14ac:dyDescent="0.2">
      <c r="A540" s="1" t="str">
        <f t="shared" si="40"/>
        <v/>
      </c>
      <c r="B540" s="1"/>
      <c r="C540" s="15" t="str">
        <f t="shared" ca="1" si="41"/>
        <v/>
      </c>
      <c r="D540" s="1" t="str">
        <f>IF(ISBLANK(B540),"",VLOOKUP(B540,formules!E:F,2,0))</f>
        <v/>
      </c>
      <c r="E540" s="1" t="str">
        <f t="shared" si="42"/>
        <v/>
      </c>
      <c r="F540" s="17" t="str">
        <f>IF(ISBLANK(B540),"",VLOOKUP(B540,formules!E:K,7,0))</f>
        <v/>
      </c>
      <c r="G540" s="17" t="str">
        <f>IF(ISBLANK(B540),"",VLOOKUP(B540,formules!E:L,8,0))</f>
        <v/>
      </c>
      <c r="H540" s="1" t="str">
        <f t="shared" si="43"/>
        <v/>
      </c>
      <c r="I540" s="1"/>
      <c r="J540" s="1" t="str">
        <f t="shared" si="44"/>
        <v/>
      </c>
    </row>
    <row r="541" spans="1:10" x14ac:dyDescent="0.2">
      <c r="A541" s="1" t="str">
        <f t="shared" si="40"/>
        <v/>
      </c>
      <c r="B541" s="1"/>
      <c r="C541" s="15" t="str">
        <f t="shared" ca="1" si="41"/>
        <v/>
      </c>
      <c r="D541" s="1" t="str">
        <f>IF(ISBLANK(B541),"",VLOOKUP(B541,formules!E:F,2,0))</f>
        <v/>
      </c>
      <c r="E541" s="1" t="str">
        <f t="shared" si="42"/>
        <v/>
      </c>
      <c r="F541" s="17" t="str">
        <f>IF(ISBLANK(B541),"",VLOOKUP(B541,formules!E:K,7,0))</f>
        <v/>
      </c>
      <c r="G541" s="17" t="str">
        <f>IF(ISBLANK(B541),"",VLOOKUP(B541,formules!E:L,8,0))</f>
        <v/>
      </c>
      <c r="H541" s="1" t="str">
        <f t="shared" si="43"/>
        <v/>
      </c>
      <c r="I541" s="1"/>
      <c r="J541" s="1" t="str">
        <f t="shared" si="44"/>
        <v/>
      </c>
    </row>
    <row r="542" spans="1:10" x14ac:dyDescent="0.2">
      <c r="A542" s="1" t="str">
        <f t="shared" si="40"/>
        <v/>
      </c>
      <c r="B542" s="1"/>
      <c r="C542" s="15" t="str">
        <f t="shared" ca="1" si="41"/>
        <v/>
      </c>
      <c r="D542" s="1" t="str">
        <f>IF(ISBLANK(B542),"",VLOOKUP(B542,formules!E:F,2,0))</f>
        <v/>
      </c>
      <c r="E542" s="1" t="str">
        <f t="shared" si="42"/>
        <v/>
      </c>
      <c r="F542" s="17" t="str">
        <f>IF(ISBLANK(B542),"",VLOOKUP(B542,formules!E:K,7,0))</f>
        <v/>
      </c>
      <c r="G542" s="17" t="str">
        <f>IF(ISBLANK(B542),"",VLOOKUP(B542,formules!E:L,8,0))</f>
        <v/>
      </c>
      <c r="H542" s="1" t="str">
        <f t="shared" si="43"/>
        <v/>
      </c>
      <c r="I542" s="1"/>
      <c r="J542" s="1" t="str">
        <f t="shared" si="44"/>
        <v/>
      </c>
    </row>
    <row r="543" spans="1:10" x14ac:dyDescent="0.2">
      <c r="A543" s="1" t="str">
        <f t="shared" si="40"/>
        <v/>
      </c>
      <c r="B543" s="1"/>
      <c r="C543" s="15" t="str">
        <f t="shared" ca="1" si="41"/>
        <v/>
      </c>
      <c r="D543" s="1" t="str">
        <f>IF(ISBLANK(B543),"",VLOOKUP(B543,formules!E:F,2,0))</f>
        <v/>
      </c>
      <c r="E543" s="1" t="str">
        <f t="shared" si="42"/>
        <v/>
      </c>
      <c r="F543" s="17" t="str">
        <f>IF(ISBLANK(B543),"",VLOOKUP(B543,formules!E:K,7,0))</f>
        <v/>
      </c>
      <c r="G543" s="17" t="str">
        <f>IF(ISBLANK(B543),"",VLOOKUP(B543,formules!E:L,8,0))</f>
        <v/>
      </c>
      <c r="H543" s="1" t="str">
        <f t="shared" si="43"/>
        <v/>
      </c>
      <c r="I543" s="1"/>
      <c r="J543" s="1" t="str">
        <f t="shared" si="44"/>
        <v/>
      </c>
    </row>
    <row r="544" spans="1:10" x14ac:dyDescent="0.2">
      <c r="A544" s="1" t="str">
        <f t="shared" si="40"/>
        <v/>
      </c>
      <c r="B544" s="1"/>
      <c r="C544" s="15" t="str">
        <f t="shared" ca="1" si="41"/>
        <v/>
      </c>
      <c r="D544" s="1" t="str">
        <f>IF(ISBLANK(B544),"",VLOOKUP(B544,formules!E:F,2,0))</f>
        <v/>
      </c>
      <c r="E544" s="1" t="str">
        <f t="shared" si="42"/>
        <v/>
      </c>
      <c r="F544" s="17" t="str">
        <f>IF(ISBLANK(B544),"",VLOOKUP(B544,formules!E:K,7,0))</f>
        <v/>
      </c>
      <c r="G544" s="17" t="str">
        <f>IF(ISBLANK(B544),"",VLOOKUP(B544,formules!E:L,8,0))</f>
        <v/>
      </c>
      <c r="H544" s="1" t="str">
        <f t="shared" si="43"/>
        <v/>
      </c>
      <c r="I544" s="1"/>
      <c r="J544" s="1" t="str">
        <f t="shared" si="44"/>
        <v/>
      </c>
    </row>
    <row r="545" spans="1:10" x14ac:dyDescent="0.2">
      <c r="A545" s="1" t="str">
        <f t="shared" si="40"/>
        <v/>
      </c>
      <c r="B545" s="1"/>
      <c r="C545" s="15" t="str">
        <f t="shared" ca="1" si="41"/>
        <v/>
      </c>
      <c r="D545" s="1" t="str">
        <f>IF(ISBLANK(B545),"",VLOOKUP(B545,formules!E:F,2,0))</f>
        <v/>
      </c>
      <c r="E545" s="1" t="str">
        <f t="shared" si="42"/>
        <v/>
      </c>
      <c r="F545" s="17" t="str">
        <f>IF(ISBLANK(B545),"",VLOOKUP(B545,formules!E:K,7,0))</f>
        <v/>
      </c>
      <c r="G545" s="17" t="str">
        <f>IF(ISBLANK(B545),"",VLOOKUP(B545,formules!E:L,8,0))</f>
        <v/>
      </c>
      <c r="H545" s="1" t="str">
        <f t="shared" si="43"/>
        <v/>
      </c>
      <c r="I545" s="1"/>
      <c r="J545" s="1" t="str">
        <f t="shared" si="44"/>
        <v/>
      </c>
    </row>
    <row r="546" spans="1:10" x14ac:dyDescent="0.2">
      <c r="A546" s="1" t="str">
        <f t="shared" si="40"/>
        <v/>
      </c>
      <c r="B546" s="1"/>
      <c r="C546" s="15" t="str">
        <f t="shared" ca="1" si="41"/>
        <v/>
      </c>
      <c r="D546" s="1" t="str">
        <f>IF(ISBLANK(B546),"",VLOOKUP(B546,formules!E:F,2,0))</f>
        <v/>
      </c>
      <c r="E546" s="1" t="str">
        <f t="shared" si="42"/>
        <v/>
      </c>
      <c r="F546" s="17" t="str">
        <f>IF(ISBLANK(B546),"",VLOOKUP(B546,formules!E:K,7,0))</f>
        <v/>
      </c>
      <c r="G546" s="17" t="str">
        <f>IF(ISBLANK(B546),"",VLOOKUP(B546,formules!E:L,8,0))</f>
        <v/>
      </c>
      <c r="H546" s="1" t="str">
        <f t="shared" si="43"/>
        <v/>
      </c>
      <c r="I546" s="1"/>
      <c r="J546" s="1" t="str">
        <f t="shared" si="44"/>
        <v/>
      </c>
    </row>
    <row r="547" spans="1:10" x14ac:dyDescent="0.2">
      <c r="A547" s="1" t="str">
        <f t="shared" si="40"/>
        <v/>
      </c>
      <c r="B547" s="1"/>
      <c r="C547" s="15" t="str">
        <f t="shared" ca="1" si="41"/>
        <v/>
      </c>
      <c r="D547" s="1" t="str">
        <f>IF(ISBLANK(B547),"",VLOOKUP(B547,formules!E:F,2,0))</f>
        <v/>
      </c>
      <c r="E547" s="1" t="str">
        <f t="shared" si="42"/>
        <v/>
      </c>
      <c r="F547" s="17" t="str">
        <f>IF(ISBLANK(B547),"",VLOOKUP(B547,formules!E:K,7,0))</f>
        <v/>
      </c>
      <c r="G547" s="17" t="str">
        <f>IF(ISBLANK(B547),"",VLOOKUP(B547,formules!E:L,8,0))</f>
        <v/>
      </c>
      <c r="H547" s="1" t="str">
        <f t="shared" si="43"/>
        <v/>
      </c>
      <c r="I547" s="1"/>
      <c r="J547" s="1" t="str">
        <f t="shared" si="44"/>
        <v/>
      </c>
    </row>
    <row r="548" spans="1:10" x14ac:dyDescent="0.2">
      <c r="A548" s="1" t="str">
        <f t="shared" si="40"/>
        <v/>
      </c>
      <c r="B548" s="1"/>
      <c r="C548" s="15" t="str">
        <f t="shared" ca="1" si="41"/>
        <v/>
      </c>
      <c r="D548" s="1" t="str">
        <f>IF(ISBLANK(B548),"",VLOOKUP(B548,formules!E:F,2,0))</f>
        <v/>
      </c>
      <c r="E548" s="1" t="str">
        <f t="shared" si="42"/>
        <v/>
      </c>
      <c r="F548" s="17" t="str">
        <f>IF(ISBLANK(B548),"",VLOOKUP(B548,formules!E:K,7,0))</f>
        <v/>
      </c>
      <c r="G548" s="17" t="str">
        <f>IF(ISBLANK(B548),"",VLOOKUP(B548,formules!E:L,8,0))</f>
        <v/>
      </c>
      <c r="H548" s="1" t="str">
        <f t="shared" si="43"/>
        <v/>
      </c>
      <c r="I548" s="1"/>
      <c r="J548" s="1" t="str">
        <f t="shared" si="44"/>
        <v/>
      </c>
    </row>
    <row r="549" spans="1:10" x14ac:dyDescent="0.2">
      <c r="A549" s="1" t="str">
        <f t="shared" si="40"/>
        <v/>
      </c>
      <c r="B549" s="1"/>
      <c r="C549" s="15" t="str">
        <f t="shared" ca="1" si="41"/>
        <v/>
      </c>
      <c r="D549" s="1" t="str">
        <f>IF(ISBLANK(B549),"",VLOOKUP(B549,formules!E:F,2,0))</f>
        <v/>
      </c>
      <c r="E549" s="1" t="str">
        <f t="shared" si="42"/>
        <v/>
      </c>
      <c r="F549" s="17" t="str">
        <f>IF(ISBLANK(B549),"",VLOOKUP(B549,formules!E:K,7,0))</f>
        <v/>
      </c>
      <c r="G549" s="17" t="str">
        <f>IF(ISBLANK(B549),"",VLOOKUP(B549,formules!E:L,8,0))</f>
        <v/>
      </c>
      <c r="H549" s="1" t="str">
        <f t="shared" si="43"/>
        <v/>
      </c>
      <c r="I549" s="1"/>
      <c r="J549" s="1" t="str">
        <f t="shared" si="44"/>
        <v/>
      </c>
    </row>
    <row r="550" spans="1:10" x14ac:dyDescent="0.2">
      <c r="A550" s="1" t="str">
        <f t="shared" si="40"/>
        <v/>
      </c>
      <c r="B550" s="1"/>
      <c r="C550" s="15" t="str">
        <f t="shared" ca="1" si="41"/>
        <v/>
      </c>
      <c r="D550" s="1" t="str">
        <f>IF(ISBLANK(B550),"",VLOOKUP(B550,formules!E:F,2,0))</f>
        <v/>
      </c>
      <c r="E550" s="1" t="str">
        <f t="shared" si="42"/>
        <v/>
      </c>
      <c r="F550" s="17" t="str">
        <f>IF(ISBLANK(B550),"",VLOOKUP(B550,formules!E:K,7,0))</f>
        <v/>
      </c>
      <c r="G550" s="17" t="str">
        <f>IF(ISBLANK(B550),"",VLOOKUP(B550,formules!E:L,8,0))</f>
        <v/>
      </c>
      <c r="H550" s="1" t="str">
        <f t="shared" si="43"/>
        <v/>
      </c>
      <c r="I550" s="1"/>
      <c r="J550" s="1" t="str">
        <f t="shared" si="44"/>
        <v/>
      </c>
    </row>
    <row r="551" spans="1:10" x14ac:dyDescent="0.2">
      <c r="A551" s="1" t="str">
        <f t="shared" si="40"/>
        <v/>
      </c>
      <c r="B551" s="1"/>
      <c r="C551" s="15" t="str">
        <f t="shared" ca="1" si="41"/>
        <v/>
      </c>
      <c r="D551" s="1" t="str">
        <f>IF(ISBLANK(B551),"",VLOOKUP(B551,formules!E:F,2,0))</f>
        <v/>
      </c>
      <c r="E551" s="1" t="str">
        <f t="shared" si="42"/>
        <v/>
      </c>
      <c r="F551" s="17" t="str">
        <f>IF(ISBLANK(B551),"",VLOOKUP(B551,formules!E:K,7,0))</f>
        <v/>
      </c>
      <c r="G551" s="17" t="str">
        <f>IF(ISBLANK(B551),"",VLOOKUP(B551,formules!E:L,8,0))</f>
        <v/>
      </c>
      <c r="H551" s="1" t="str">
        <f t="shared" si="43"/>
        <v/>
      </c>
      <c r="I551" s="1"/>
      <c r="J551" s="1" t="str">
        <f t="shared" si="44"/>
        <v/>
      </c>
    </row>
    <row r="552" spans="1:10" x14ac:dyDescent="0.2">
      <c r="A552" s="1" t="str">
        <f t="shared" si="40"/>
        <v/>
      </c>
      <c r="B552" s="1"/>
      <c r="C552" s="15" t="str">
        <f t="shared" ca="1" si="41"/>
        <v/>
      </c>
      <c r="D552" s="1" t="str">
        <f>IF(ISBLANK(B552),"",VLOOKUP(B552,formules!E:F,2,0))</f>
        <v/>
      </c>
      <c r="E552" s="1" t="str">
        <f t="shared" si="42"/>
        <v/>
      </c>
      <c r="F552" s="17" t="str">
        <f>IF(ISBLANK(B552),"",VLOOKUP(B552,formules!E:K,7,0))</f>
        <v/>
      </c>
      <c r="G552" s="17" t="str">
        <f>IF(ISBLANK(B552),"",VLOOKUP(B552,formules!E:L,8,0))</f>
        <v/>
      </c>
      <c r="H552" s="1" t="str">
        <f t="shared" si="43"/>
        <v/>
      </c>
      <c r="I552" s="1"/>
      <c r="J552" s="1" t="str">
        <f t="shared" si="44"/>
        <v/>
      </c>
    </row>
    <row r="553" spans="1:10" x14ac:dyDescent="0.2">
      <c r="A553" s="1" t="str">
        <f t="shared" si="40"/>
        <v/>
      </c>
      <c r="B553" s="1"/>
      <c r="C553" s="15" t="str">
        <f t="shared" ca="1" si="41"/>
        <v/>
      </c>
      <c r="D553" s="1" t="str">
        <f>IF(ISBLANK(B553),"",VLOOKUP(B553,formules!E:F,2,0))</f>
        <v/>
      </c>
      <c r="E553" s="1" t="str">
        <f t="shared" si="42"/>
        <v/>
      </c>
      <c r="F553" s="17" t="str">
        <f>IF(ISBLANK(B553),"",VLOOKUP(B553,formules!E:K,7,0))</f>
        <v/>
      </c>
      <c r="G553" s="17" t="str">
        <f>IF(ISBLANK(B553),"",VLOOKUP(B553,formules!E:L,8,0))</f>
        <v/>
      </c>
      <c r="H553" s="1" t="str">
        <f t="shared" si="43"/>
        <v/>
      </c>
      <c r="I553" s="1"/>
      <c r="J553" s="1" t="str">
        <f t="shared" si="44"/>
        <v/>
      </c>
    </row>
    <row r="554" spans="1:10" x14ac:dyDescent="0.2">
      <c r="A554" s="1" t="str">
        <f t="shared" si="40"/>
        <v/>
      </c>
      <c r="B554" s="1"/>
      <c r="C554" s="15" t="str">
        <f t="shared" ca="1" si="41"/>
        <v/>
      </c>
      <c r="D554" s="1" t="str">
        <f>IF(ISBLANK(B554),"",VLOOKUP(B554,formules!E:F,2,0))</f>
        <v/>
      </c>
      <c r="E554" s="1" t="str">
        <f t="shared" si="42"/>
        <v/>
      </c>
      <c r="F554" s="17" t="str">
        <f>IF(ISBLANK(B554),"",VLOOKUP(B554,formules!E:K,7,0))</f>
        <v/>
      </c>
      <c r="G554" s="17" t="str">
        <f>IF(ISBLANK(B554),"",VLOOKUP(B554,formules!E:L,8,0))</f>
        <v/>
      </c>
      <c r="H554" s="1" t="str">
        <f t="shared" si="43"/>
        <v/>
      </c>
      <c r="I554" s="1"/>
      <c r="J554" s="1" t="str">
        <f t="shared" si="44"/>
        <v/>
      </c>
    </row>
    <row r="555" spans="1:10" x14ac:dyDescent="0.2">
      <c r="A555" s="1" t="str">
        <f t="shared" si="40"/>
        <v/>
      </c>
      <c r="B555" s="1"/>
      <c r="C555" s="15" t="str">
        <f t="shared" ca="1" si="41"/>
        <v/>
      </c>
      <c r="D555" s="1" t="str">
        <f>IF(ISBLANK(B555),"",VLOOKUP(B555,formules!E:F,2,0))</f>
        <v/>
      </c>
      <c r="E555" s="1" t="str">
        <f t="shared" si="42"/>
        <v/>
      </c>
      <c r="F555" s="17" t="str">
        <f>IF(ISBLANK(B555),"",VLOOKUP(B555,formules!E:K,7,0))</f>
        <v/>
      </c>
      <c r="G555" s="17" t="str">
        <f>IF(ISBLANK(B555),"",VLOOKUP(B555,formules!E:L,8,0))</f>
        <v/>
      </c>
      <c r="H555" s="1" t="str">
        <f t="shared" si="43"/>
        <v/>
      </c>
      <c r="I555" s="1"/>
      <c r="J555" s="1" t="str">
        <f t="shared" si="44"/>
        <v/>
      </c>
    </row>
    <row r="556" spans="1:10" x14ac:dyDescent="0.2">
      <c r="A556" s="1" t="str">
        <f t="shared" si="40"/>
        <v/>
      </c>
      <c r="B556" s="1"/>
      <c r="C556" s="15" t="str">
        <f t="shared" ca="1" si="41"/>
        <v/>
      </c>
      <c r="D556" s="1" t="str">
        <f>IF(ISBLANK(B556),"",VLOOKUP(B556,formules!E:F,2,0))</f>
        <v/>
      </c>
      <c r="E556" s="1" t="str">
        <f t="shared" si="42"/>
        <v/>
      </c>
      <c r="F556" s="17" t="str">
        <f>IF(ISBLANK(B556),"",VLOOKUP(B556,formules!E:K,7,0))</f>
        <v/>
      </c>
      <c r="G556" s="17" t="str">
        <f>IF(ISBLANK(B556),"",VLOOKUP(B556,formules!E:L,8,0))</f>
        <v/>
      </c>
      <c r="H556" s="1" t="str">
        <f t="shared" si="43"/>
        <v/>
      </c>
      <c r="I556" s="1"/>
      <c r="J556" s="1" t="str">
        <f t="shared" si="44"/>
        <v/>
      </c>
    </row>
    <row r="557" spans="1:10" x14ac:dyDescent="0.2">
      <c r="A557" s="1" t="str">
        <f t="shared" si="40"/>
        <v/>
      </c>
      <c r="B557" s="1"/>
      <c r="C557" s="15" t="str">
        <f t="shared" ca="1" si="41"/>
        <v/>
      </c>
      <c r="D557" s="1" t="str">
        <f>IF(ISBLANK(B557),"",VLOOKUP(B557,formules!E:F,2,0))</f>
        <v/>
      </c>
      <c r="E557" s="1" t="str">
        <f t="shared" si="42"/>
        <v/>
      </c>
      <c r="F557" s="17" t="str">
        <f>IF(ISBLANK(B557),"",VLOOKUP(B557,formules!E:K,7,0))</f>
        <v/>
      </c>
      <c r="G557" s="17" t="str">
        <f>IF(ISBLANK(B557),"",VLOOKUP(B557,formules!E:L,8,0))</f>
        <v/>
      </c>
      <c r="H557" s="1" t="str">
        <f t="shared" si="43"/>
        <v/>
      </c>
      <c r="I557" s="1"/>
      <c r="J557" s="1" t="str">
        <f t="shared" si="44"/>
        <v/>
      </c>
    </row>
    <row r="558" spans="1:10" x14ac:dyDescent="0.2">
      <c r="A558" s="1" t="str">
        <f t="shared" si="40"/>
        <v/>
      </c>
      <c r="B558" s="1"/>
      <c r="C558" s="15" t="str">
        <f t="shared" ca="1" si="41"/>
        <v/>
      </c>
      <c r="D558" s="1" t="str">
        <f>IF(ISBLANK(B558),"",VLOOKUP(B558,formules!E:F,2,0))</f>
        <v/>
      </c>
      <c r="E558" s="1" t="str">
        <f t="shared" si="42"/>
        <v/>
      </c>
      <c r="F558" s="17" t="str">
        <f>IF(ISBLANK(B558),"",VLOOKUP(B558,formules!E:K,7,0))</f>
        <v/>
      </c>
      <c r="G558" s="17" t="str">
        <f>IF(ISBLANK(B558),"",VLOOKUP(B558,formules!E:L,8,0))</f>
        <v/>
      </c>
      <c r="H558" s="1" t="str">
        <f t="shared" si="43"/>
        <v/>
      </c>
      <c r="I558" s="1"/>
      <c r="J558" s="1" t="str">
        <f t="shared" si="44"/>
        <v/>
      </c>
    </row>
    <row r="559" spans="1:10" x14ac:dyDescent="0.2">
      <c r="A559" s="1" t="str">
        <f t="shared" si="40"/>
        <v/>
      </c>
      <c r="B559" s="1"/>
      <c r="C559" s="15" t="str">
        <f t="shared" ca="1" si="41"/>
        <v/>
      </c>
      <c r="D559" s="1" t="str">
        <f>IF(ISBLANK(B559),"",VLOOKUP(B559,formules!E:F,2,0))</f>
        <v/>
      </c>
      <c r="E559" s="1" t="str">
        <f t="shared" si="42"/>
        <v/>
      </c>
      <c r="F559" s="17" t="str">
        <f>IF(ISBLANK(B559),"",VLOOKUP(B559,formules!E:K,7,0))</f>
        <v/>
      </c>
      <c r="G559" s="17" t="str">
        <f>IF(ISBLANK(B559),"",VLOOKUP(B559,formules!E:L,8,0))</f>
        <v/>
      </c>
      <c r="H559" s="1" t="str">
        <f t="shared" si="43"/>
        <v/>
      </c>
      <c r="I559" s="1"/>
      <c r="J559" s="1" t="str">
        <f t="shared" si="44"/>
        <v/>
      </c>
    </row>
    <row r="560" spans="1:10" x14ac:dyDescent="0.2">
      <c r="A560" s="1" t="str">
        <f t="shared" si="40"/>
        <v/>
      </c>
      <c r="B560" s="1"/>
      <c r="C560" s="15" t="str">
        <f t="shared" ca="1" si="41"/>
        <v/>
      </c>
      <c r="D560" s="1" t="str">
        <f>IF(ISBLANK(B560),"",VLOOKUP(B560,formules!E:F,2,0))</f>
        <v/>
      </c>
      <c r="E560" s="1" t="str">
        <f t="shared" si="42"/>
        <v/>
      </c>
      <c r="F560" s="17" t="str">
        <f>IF(ISBLANK(B560),"",VLOOKUP(B560,formules!E:K,7,0))</f>
        <v/>
      </c>
      <c r="G560" s="17" t="str">
        <f>IF(ISBLANK(B560),"",VLOOKUP(B560,formules!E:L,8,0))</f>
        <v/>
      </c>
      <c r="H560" s="1" t="str">
        <f t="shared" si="43"/>
        <v/>
      </c>
      <c r="I560" s="1"/>
      <c r="J560" s="1" t="str">
        <f t="shared" si="44"/>
        <v/>
      </c>
    </row>
    <row r="561" spans="1:10" x14ac:dyDescent="0.2">
      <c r="A561" s="1" t="str">
        <f t="shared" si="40"/>
        <v/>
      </c>
      <c r="B561" s="1"/>
      <c r="C561" s="15" t="str">
        <f t="shared" ca="1" si="41"/>
        <v/>
      </c>
      <c r="D561" s="1" t="str">
        <f>IF(ISBLANK(B561),"",VLOOKUP(B561,formules!E:F,2,0))</f>
        <v/>
      </c>
      <c r="E561" s="1" t="str">
        <f t="shared" si="42"/>
        <v/>
      </c>
      <c r="F561" s="17" t="str">
        <f>IF(ISBLANK(B561),"",VLOOKUP(B561,formules!E:K,7,0))</f>
        <v/>
      </c>
      <c r="G561" s="17" t="str">
        <f>IF(ISBLANK(B561),"",VLOOKUP(B561,formules!E:L,8,0))</f>
        <v/>
      </c>
      <c r="H561" s="1" t="str">
        <f t="shared" si="43"/>
        <v/>
      </c>
      <c r="I561" s="1"/>
      <c r="J561" s="1" t="str">
        <f t="shared" si="44"/>
        <v/>
      </c>
    </row>
    <row r="562" spans="1:10" x14ac:dyDescent="0.2">
      <c r="A562" s="1" t="str">
        <f t="shared" si="40"/>
        <v/>
      </c>
      <c r="B562" s="1"/>
      <c r="C562" s="15" t="str">
        <f t="shared" ca="1" si="41"/>
        <v/>
      </c>
      <c r="D562" s="1" t="str">
        <f>IF(ISBLANK(B562),"",VLOOKUP(B562,formules!E:F,2,0))</f>
        <v/>
      </c>
      <c r="E562" s="1" t="str">
        <f t="shared" si="42"/>
        <v/>
      </c>
      <c r="F562" s="17" t="str">
        <f>IF(ISBLANK(B562),"",VLOOKUP(B562,formules!E:K,7,0))</f>
        <v/>
      </c>
      <c r="G562" s="17" t="str">
        <f>IF(ISBLANK(B562),"",VLOOKUP(B562,formules!E:L,8,0))</f>
        <v/>
      </c>
      <c r="H562" s="1" t="str">
        <f t="shared" si="43"/>
        <v/>
      </c>
      <c r="I562" s="1"/>
      <c r="J562" s="1" t="str">
        <f t="shared" si="44"/>
        <v/>
      </c>
    </row>
    <row r="563" spans="1:10" x14ac:dyDescent="0.2">
      <c r="A563" s="1" t="str">
        <f t="shared" si="40"/>
        <v/>
      </c>
      <c r="B563" s="1"/>
      <c r="C563" s="15" t="str">
        <f t="shared" ca="1" si="41"/>
        <v/>
      </c>
      <c r="D563" s="1" t="str">
        <f>IF(ISBLANK(B563),"",VLOOKUP(B563,formules!E:F,2,0))</f>
        <v/>
      </c>
      <c r="E563" s="1" t="str">
        <f t="shared" si="42"/>
        <v/>
      </c>
      <c r="F563" s="17" t="str">
        <f>IF(ISBLANK(B563),"",VLOOKUP(B563,formules!E:K,7,0))</f>
        <v/>
      </c>
      <c r="G563" s="17" t="str">
        <f>IF(ISBLANK(B563),"",VLOOKUP(B563,formules!E:L,8,0))</f>
        <v/>
      </c>
      <c r="H563" s="1" t="str">
        <f t="shared" si="43"/>
        <v/>
      </c>
      <c r="I563" s="1"/>
      <c r="J563" s="1" t="str">
        <f t="shared" si="44"/>
        <v/>
      </c>
    </row>
    <row r="564" spans="1:10" x14ac:dyDescent="0.2">
      <c r="A564" s="1" t="str">
        <f t="shared" si="40"/>
        <v/>
      </c>
      <c r="B564" s="1"/>
      <c r="C564" s="15" t="str">
        <f t="shared" ca="1" si="41"/>
        <v/>
      </c>
      <c r="D564" s="1" t="str">
        <f>IF(ISBLANK(B564),"",VLOOKUP(B564,formules!E:F,2,0))</f>
        <v/>
      </c>
      <c r="E564" s="1" t="str">
        <f t="shared" si="42"/>
        <v/>
      </c>
      <c r="F564" s="17" t="str">
        <f>IF(ISBLANK(B564),"",VLOOKUP(B564,formules!E:K,7,0))</f>
        <v/>
      </c>
      <c r="G564" s="17" t="str">
        <f>IF(ISBLANK(B564),"",VLOOKUP(B564,formules!E:L,8,0))</f>
        <v/>
      </c>
      <c r="H564" s="1" t="str">
        <f t="shared" si="43"/>
        <v/>
      </c>
      <c r="I564" s="1"/>
      <c r="J564" s="1" t="str">
        <f t="shared" si="44"/>
        <v/>
      </c>
    </row>
    <row r="565" spans="1:10" x14ac:dyDescent="0.2">
      <c r="A565" s="1" t="str">
        <f t="shared" si="40"/>
        <v/>
      </c>
      <c r="B565" s="1"/>
      <c r="C565" s="15" t="str">
        <f t="shared" ca="1" si="41"/>
        <v/>
      </c>
      <c r="D565" s="1" t="str">
        <f>IF(ISBLANK(B565),"",VLOOKUP(B565,formules!E:F,2,0))</f>
        <v/>
      </c>
      <c r="E565" s="1" t="str">
        <f t="shared" si="42"/>
        <v/>
      </c>
      <c r="F565" s="17" t="str">
        <f>IF(ISBLANK(B565),"",VLOOKUP(B565,formules!E:K,7,0))</f>
        <v/>
      </c>
      <c r="G565" s="17" t="str">
        <f>IF(ISBLANK(B565),"",VLOOKUP(B565,formules!E:L,8,0))</f>
        <v/>
      </c>
      <c r="H565" s="1" t="str">
        <f t="shared" si="43"/>
        <v/>
      </c>
      <c r="I565" s="1"/>
      <c r="J565" s="1" t="str">
        <f t="shared" si="44"/>
        <v/>
      </c>
    </row>
    <row r="566" spans="1:10" x14ac:dyDescent="0.2">
      <c r="A566" s="1" t="str">
        <f t="shared" si="40"/>
        <v/>
      </c>
      <c r="B566" s="1"/>
      <c r="C566" s="15" t="str">
        <f t="shared" ca="1" si="41"/>
        <v/>
      </c>
      <c r="D566" s="1" t="str">
        <f>IF(ISBLANK(B566),"",VLOOKUP(B566,formules!E:F,2,0))</f>
        <v/>
      </c>
      <c r="E566" s="1" t="str">
        <f t="shared" si="42"/>
        <v/>
      </c>
      <c r="F566" s="17" t="str">
        <f>IF(ISBLANK(B566),"",VLOOKUP(B566,formules!E:K,7,0))</f>
        <v/>
      </c>
      <c r="G566" s="17" t="str">
        <f>IF(ISBLANK(B566),"",VLOOKUP(B566,formules!E:L,8,0))</f>
        <v/>
      </c>
      <c r="H566" s="1" t="str">
        <f t="shared" si="43"/>
        <v/>
      </c>
      <c r="I566" s="1"/>
      <c r="J566" s="1" t="str">
        <f t="shared" si="44"/>
        <v/>
      </c>
    </row>
    <row r="567" spans="1:10" x14ac:dyDescent="0.2">
      <c r="A567" s="1" t="str">
        <f t="shared" si="40"/>
        <v/>
      </c>
      <c r="B567" s="1"/>
      <c r="C567" s="15" t="str">
        <f t="shared" ca="1" si="41"/>
        <v/>
      </c>
      <c r="D567" s="1" t="str">
        <f>IF(ISBLANK(B567),"",VLOOKUP(B567,formules!E:F,2,0))</f>
        <v/>
      </c>
      <c r="E567" s="1" t="str">
        <f t="shared" si="42"/>
        <v/>
      </c>
      <c r="F567" s="17" t="str">
        <f>IF(ISBLANK(B567),"",VLOOKUP(B567,formules!E:K,7,0))</f>
        <v/>
      </c>
      <c r="G567" s="17" t="str">
        <f>IF(ISBLANK(B567),"",VLOOKUP(B567,formules!E:L,8,0))</f>
        <v/>
      </c>
      <c r="H567" s="1" t="str">
        <f t="shared" si="43"/>
        <v/>
      </c>
      <c r="I567" s="1"/>
      <c r="J567" s="1" t="str">
        <f t="shared" si="44"/>
        <v/>
      </c>
    </row>
    <row r="568" spans="1:10" x14ac:dyDescent="0.2">
      <c r="A568" s="1" t="str">
        <f t="shared" si="40"/>
        <v/>
      </c>
      <c r="B568" s="1"/>
      <c r="C568" s="15" t="str">
        <f t="shared" ca="1" si="41"/>
        <v/>
      </c>
      <c r="D568" s="1" t="str">
        <f>IF(ISBLANK(B568),"",VLOOKUP(B568,formules!E:F,2,0))</f>
        <v/>
      </c>
      <c r="E568" s="1" t="str">
        <f t="shared" si="42"/>
        <v/>
      </c>
      <c r="F568" s="17" t="str">
        <f>IF(ISBLANK(B568),"",VLOOKUP(B568,formules!E:K,7,0))</f>
        <v/>
      </c>
      <c r="G568" s="17" t="str">
        <f>IF(ISBLANK(B568),"",VLOOKUP(B568,formules!E:L,8,0))</f>
        <v/>
      </c>
      <c r="H568" s="1" t="str">
        <f t="shared" si="43"/>
        <v/>
      </c>
      <c r="I568" s="1"/>
      <c r="J568" s="1" t="str">
        <f t="shared" si="44"/>
        <v/>
      </c>
    </row>
    <row r="569" spans="1:10" x14ac:dyDescent="0.2">
      <c r="A569" s="1" t="str">
        <f t="shared" si="40"/>
        <v/>
      </c>
      <c r="B569" s="1"/>
      <c r="C569" s="15" t="str">
        <f t="shared" ca="1" si="41"/>
        <v/>
      </c>
      <c r="D569" s="1" t="str">
        <f>IF(ISBLANK(B569),"",VLOOKUP(B569,formules!E:F,2,0))</f>
        <v/>
      </c>
      <c r="E569" s="1" t="str">
        <f t="shared" si="42"/>
        <v/>
      </c>
      <c r="F569" s="17" t="str">
        <f>IF(ISBLANK(B569),"",VLOOKUP(B569,formules!E:K,7,0))</f>
        <v/>
      </c>
      <c r="G569" s="17" t="str">
        <f>IF(ISBLANK(B569),"",VLOOKUP(B569,formules!E:L,8,0))</f>
        <v/>
      </c>
      <c r="H569" s="1" t="str">
        <f t="shared" si="43"/>
        <v/>
      </c>
      <c r="I569" s="1"/>
      <c r="J569" s="1" t="str">
        <f t="shared" si="44"/>
        <v/>
      </c>
    </row>
    <row r="570" spans="1:10" x14ac:dyDescent="0.2">
      <c r="A570" s="1" t="str">
        <f t="shared" si="40"/>
        <v/>
      </c>
      <c r="B570" s="1"/>
      <c r="C570" s="15" t="str">
        <f t="shared" ca="1" si="41"/>
        <v/>
      </c>
      <c r="D570" s="1" t="str">
        <f>IF(ISBLANK(B570),"",VLOOKUP(B570,formules!E:F,2,0))</f>
        <v/>
      </c>
      <c r="E570" s="1" t="str">
        <f t="shared" si="42"/>
        <v/>
      </c>
      <c r="F570" s="17" t="str">
        <f>IF(ISBLANK(B570),"",VLOOKUP(B570,formules!E:K,7,0))</f>
        <v/>
      </c>
      <c r="G570" s="17" t="str">
        <f>IF(ISBLANK(B570),"",VLOOKUP(B570,formules!E:L,8,0))</f>
        <v/>
      </c>
      <c r="H570" s="1" t="str">
        <f t="shared" si="43"/>
        <v/>
      </c>
      <c r="I570" s="1"/>
      <c r="J570" s="1" t="str">
        <f t="shared" si="44"/>
        <v/>
      </c>
    </row>
    <row r="571" spans="1:10" x14ac:dyDescent="0.2">
      <c r="A571" s="1" t="str">
        <f t="shared" si="40"/>
        <v/>
      </c>
      <c r="B571" s="1"/>
      <c r="C571" s="15" t="str">
        <f t="shared" ca="1" si="41"/>
        <v/>
      </c>
      <c r="D571" s="1" t="str">
        <f>IF(ISBLANK(B571),"",VLOOKUP(B571,formules!E:F,2,0))</f>
        <v/>
      </c>
      <c r="E571" s="1" t="str">
        <f t="shared" si="42"/>
        <v/>
      </c>
      <c r="F571" s="17" t="str">
        <f>IF(ISBLANK(B571),"",VLOOKUP(B571,formules!E:K,7,0))</f>
        <v/>
      </c>
      <c r="G571" s="17" t="str">
        <f>IF(ISBLANK(B571),"",VLOOKUP(B571,formules!E:L,8,0))</f>
        <v/>
      </c>
      <c r="H571" s="1" t="str">
        <f t="shared" si="43"/>
        <v/>
      </c>
      <c r="I571" s="1"/>
      <c r="J571" s="1" t="str">
        <f t="shared" si="44"/>
        <v/>
      </c>
    </row>
    <row r="572" spans="1:10" x14ac:dyDescent="0.2">
      <c r="A572" s="1" t="str">
        <f t="shared" si="40"/>
        <v/>
      </c>
      <c r="B572" s="1"/>
      <c r="C572" s="15" t="str">
        <f t="shared" ca="1" si="41"/>
        <v/>
      </c>
      <c r="D572" s="1" t="str">
        <f>IF(ISBLANK(B572),"",VLOOKUP(B572,formules!E:F,2,0))</f>
        <v/>
      </c>
      <c r="E572" s="1" t="str">
        <f t="shared" si="42"/>
        <v/>
      </c>
      <c r="F572" s="17" t="str">
        <f>IF(ISBLANK(B572),"",VLOOKUP(B572,formules!E:K,7,0))</f>
        <v/>
      </c>
      <c r="G572" s="17" t="str">
        <f>IF(ISBLANK(B572),"",VLOOKUP(B572,formules!E:L,8,0))</f>
        <v/>
      </c>
      <c r="H572" s="1" t="str">
        <f t="shared" si="43"/>
        <v/>
      </c>
      <c r="I572" s="1"/>
      <c r="J572" s="1" t="str">
        <f t="shared" si="44"/>
        <v/>
      </c>
    </row>
    <row r="573" spans="1:10" x14ac:dyDescent="0.2">
      <c r="A573" s="1" t="str">
        <f t="shared" si="40"/>
        <v/>
      </c>
      <c r="B573" s="1"/>
      <c r="C573" s="15" t="str">
        <f t="shared" ca="1" si="41"/>
        <v/>
      </c>
      <c r="D573" s="1" t="str">
        <f>IF(ISBLANK(B573),"",VLOOKUP(B573,formules!E:F,2,0))</f>
        <v/>
      </c>
      <c r="E573" s="1" t="str">
        <f t="shared" si="42"/>
        <v/>
      </c>
      <c r="F573" s="17" t="str">
        <f>IF(ISBLANK(B573),"",VLOOKUP(B573,formules!E:K,7,0))</f>
        <v/>
      </c>
      <c r="G573" s="17" t="str">
        <f>IF(ISBLANK(B573),"",VLOOKUP(B573,formules!E:L,8,0))</f>
        <v/>
      </c>
      <c r="H573" s="1" t="str">
        <f t="shared" si="43"/>
        <v/>
      </c>
      <c r="I573" s="1"/>
      <c r="J573" s="1" t="str">
        <f t="shared" si="44"/>
        <v/>
      </c>
    </row>
    <row r="574" spans="1:10" x14ac:dyDescent="0.2">
      <c r="A574" s="1" t="str">
        <f t="shared" si="40"/>
        <v/>
      </c>
      <c r="B574" s="1"/>
      <c r="C574" s="15" t="str">
        <f t="shared" ca="1" si="41"/>
        <v/>
      </c>
      <c r="D574" s="1" t="str">
        <f>IF(ISBLANK(B574),"",VLOOKUP(B574,formules!E:F,2,0))</f>
        <v/>
      </c>
      <c r="E574" s="1" t="str">
        <f t="shared" si="42"/>
        <v/>
      </c>
      <c r="F574" s="17" t="str">
        <f>IF(ISBLANK(B574),"",VLOOKUP(B574,formules!E:K,7,0))</f>
        <v/>
      </c>
      <c r="G574" s="17" t="str">
        <f>IF(ISBLANK(B574),"",VLOOKUP(B574,formules!E:L,8,0))</f>
        <v/>
      </c>
      <c r="H574" s="1" t="str">
        <f t="shared" si="43"/>
        <v/>
      </c>
      <c r="I574" s="1"/>
      <c r="J574" s="1" t="str">
        <f t="shared" si="44"/>
        <v/>
      </c>
    </row>
    <row r="575" spans="1:10" x14ac:dyDescent="0.2">
      <c r="A575" s="1" t="str">
        <f t="shared" si="40"/>
        <v/>
      </c>
      <c r="B575" s="1"/>
      <c r="C575" s="15" t="str">
        <f t="shared" ca="1" si="41"/>
        <v/>
      </c>
      <c r="D575" s="1" t="str">
        <f>IF(ISBLANK(B575),"",VLOOKUP(B575,formules!E:F,2,0))</f>
        <v/>
      </c>
      <c r="E575" s="1" t="str">
        <f t="shared" si="42"/>
        <v/>
      </c>
      <c r="F575" s="17" t="str">
        <f>IF(ISBLANK(B575),"",VLOOKUP(B575,formules!E:K,7,0))</f>
        <v/>
      </c>
      <c r="G575" s="17" t="str">
        <f>IF(ISBLANK(B575),"",VLOOKUP(B575,formules!E:L,8,0))</f>
        <v/>
      </c>
      <c r="H575" s="1" t="str">
        <f t="shared" si="43"/>
        <v/>
      </c>
      <c r="I575" s="1"/>
      <c r="J575" s="1" t="str">
        <f t="shared" si="44"/>
        <v/>
      </c>
    </row>
    <row r="576" spans="1:10" x14ac:dyDescent="0.2">
      <c r="A576" s="1" t="str">
        <f t="shared" si="40"/>
        <v/>
      </c>
      <c r="B576" s="1"/>
      <c r="C576" s="15" t="str">
        <f t="shared" ca="1" si="41"/>
        <v/>
      </c>
      <c r="D576" s="1" t="str">
        <f>IF(ISBLANK(B576),"",VLOOKUP(B576,formules!E:F,2,0))</f>
        <v/>
      </c>
      <c r="E576" s="1" t="str">
        <f t="shared" si="42"/>
        <v/>
      </c>
      <c r="F576" s="17" t="str">
        <f>IF(ISBLANK(B576),"",VLOOKUP(B576,formules!E:K,7,0))</f>
        <v/>
      </c>
      <c r="G576" s="17" t="str">
        <f>IF(ISBLANK(B576),"",VLOOKUP(B576,formules!E:L,8,0))</f>
        <v/>
      </c>
      <c r="H576" s="1" t="str">
        <f t="shared" si="43"/>
        <v/>
      </c>
      <c r="I576" s="1"/>
      <c r="J576" s="1" t="str">
        <f t="shared" si="44"/>
        <v/>
      </c>
    </row>
    <row r="577" spans="1:10" x14ac:dyDescent="0.2">
      <c r="A577" s="1" t="str">
        <f t="shared" si="40"/>
        <v/>
      </c>
      <c r="B577" s="1"/>
      <c r="C577" s="15" t="str">
        <f t="shared" ca="1" si="41"/>
        <v/>
      </c>
      <c r="D577" s="1" t="str">
        <f>IF(ISBLANK(B577),"",VLOOKUP(B577,formules!E:F,2,0))</f>
        <v/>
      </c>
      <c r="E577" s="1" t="str">
        <f t="shared" si="42"/>
        <v/>
      </c>
      <c r="F577" s="17" t="str">
        <f>IF(ISBLANK(B577),"",VLOOKUP(B577,formules!E:K,7,0))</f>
        <v/>
      </c>
      <c r="G577" s="17" t="str">
        <f>IF(ISBLANK(B577),"",VLOOKUP(B577,formules!E:L,8,0))</f>
        <v/>
      </c>
      <c r="H577" s="1" t="str">
        <f t="shared" si="43"/>
        <v/>
      </c>
      <c r="I577" s="1"/>
      <c r="J577" s="1" t="str">
        <f t="shared" si="44"/>
        <v/>
      </c>
    </row>
    <row r="578" spans="1:10" x14ac:dyDescent="0.2">
      <c r="A578" s="1" t="str">
        <f t="shared" si="40"/>
        <v/>
      </c>
      <c r="B578" s="1"/>
      <c r="C578" s="15" t="str">
        <f t="shared" ca="1" si="41"/>
        <v/>
      </c>
      <c r="D578" s="1" t="str">
        <f>IF(ISBLANK(B578),"",VLOOKUP(B578,formules!E:F,2,0))</f>
        <v/>
      </c>
      <c r="E578" s="1" t="str">
        <f t="shared" si="42"/>
        <v/>
      </c>
      <c r="F578" s="17" t="str">
        <f>IF(ISBLANK(B578),"",VLOOKUP(B578,formules!E:K,7,0))</f>
        <v/>
      </c>
      <c r="G578" s="17" t="str">
        <f>IF(ISBLANK(B578),"",VLOOKUP(B578,formules!E:L,8,0))</f>
        <v/>
      </c>
      <c r="H578" s="1" t="str">
        <f t="shared" si="43"/>
        <v/>
      </c>
      <c r="I578" s="1"/>
      <c r="J578" s="1" t="str">
        <f t="shared" si="44"/>
        <v/>
      </c>
    </row>
    <row r="579" spans="1:10" x14ac:dyDescent="0.2">
      <c r="A579" s="1" t="str">
        <f t="shared" ref="A579:A642" si="45">IF(ISBLANK(B579),"","variation")</f>
        <v/>
      </c>
      <c r="B579" s="1"/>
      <c r="C579" s="15" t="str">
        <f t="shared" ref="C579:C642" ca="1" si="46">IF(ISBLANK(B579),"",RANDBETWEEN(1111111111111,9999999999999))</f>
        <v/>
      </c>
      <c r="D579" s="1" t="str">
        <f>IF(ISBLANK(B579),"",VLOOKUP(B579,formules!E:F,2,0))</f>
        <v/>
      </c>
      <c r="E579" s="1" t="str">
        <f t="shared" ref="E579:E642" si="47">IF(ISBLANK(B579),"",1)</f>
        <v/>
      </c>
      <c r="F579" s="17" t="str">
        <f>IF(ISBLANK(B579),"",VLOOKUP(B579,formules!E:K,7,0))</f>
        <v/>
      </c>
      <c r="G579" s="17" t="str">
        <f>IF(ISBLANK(B579),"",VLOOKUP(B579,formules!E:L,8,0))</f>
        <v/>
      </c>
      <c r="H579" s="1" t="str">
        <f t="shared" ref="H579:H642" si="48">IF(ISBLANK(B579),"","Size")</f>
        <v/>
      </c>
      <c r="I579" s="1"/>
      <c r="J579" s="1" t="str">
        <f t="shared" ref="J579:J642" si="49">IF(ISBLANK(B579),"",1)</f>
        <v/>
      </c>
    </row>
    <row r="580" spans="1:10" x14ac:dyDescent="0.2">
      <c r="A580" s="1" t="str">
        <f t="shared" si="45"/>
        <v/>
      </c>
      <c r="B580" s="1"/>
      <c r="C580" s="15" t="str">
        <f t="shared" ca="1" si="46"/>
        <v/>
      </c>
      <c r="D580" s="1" t="str">
        <f>IF(ISBLANK(B580),"",VLOOKUP(B580,formules!E:F,2,0))</f>
        <v/>
      </c>
      <c r="E580" s="1" t="str">
        <f t="shared" si="47"/>
        <v/>
      </c>
      <c r="F580" s="17" t="str">
        <f>IF(ISBLANK(B580),"",VLOOKUP(B580,formules!E:K,7,0))</f>
        <v/>
      </c>
      <c r="G580" s="17" t="str">
        <f>IF(ISBLANK(B580),"",VLOOKUP(B580,formules!E:L,8,0))</f>
        <v/>
      </c>
      <c r="H580" s="1" t="str">
        <f t="shared" si="48"/>
        <v/>
      </c>
      <c r="I580" s="1"/>
      <c r="J580" s="1" t="str">
        <f t="shared" si="49"/>
        <v/>
      </c>
    </row>
    <row r="581" spans="1:10" x14ac:dyDescent="0.2">
      <c r="A581" s="1" t="str">
        <f t="shared" si="45"/>
        <v/>
      </c>
      <c r="B581" s="1"/>
      <c r="C581" s="15" t="str">
        <f t="shared" ca="1" si="46"/>
        <v/>
      </c>
      <c r="D581" s="1" t="str">
        <f>IF(ISBLANK(B581),"",VLOOKUP(B581,formules!E:F,2,0))</f>
        <v/>
      </c>
      <c r="E581" s="1" t="str">
        <f t="shared" si="47"/>
        <v/>
      </c>
      <c r="F581" s="17" t="str">
        <f>IF(ISBLANK(B581),"",VLOOKUP(B581,formules!E:K,7,0))</f>
        <v/>
      </c>
      <c r="G581" s="17" t="str">
        <f>IF(ISBLANK(B581),"",VLOOKUP(B581,formules!E:L,8,0))</f>
        <v/>
      </c>
      <c r="H581" s="1" t="str">
        <f t="shared" si="48"/>
        <v/>
      </c>
      <c r="I581" s="1"/>
      <c r="J581" s="1" t="str">
        <f t="shared" si="49"/>
        <v/>
      </c>
    </row>
    <row r="582" spans="1:10" x14ac:dyDescent="0.2">
      <c r="A582" s="1" t="str">
        <f t="shared" si="45"/>
        <v/>
      </c>
      <c r="B582" s="1"/>
      <c r="C582" s="15" t="str">
        <f t="shared" ca="1" si="46"/>
        <v/>
      </c>
      <c r="D582" s="1" t="str">
        <f>IF(ISBLANK(B582),"",VLOOKUP(B582,formules!E:F,2,0))</f>
        <v/>
      </c>
      <c r="E582" s="1" t="str">
        <f t="shared" si="47"/>
        <v/>
      </c>
      <c r="F582" s="17" t="str">
        <f>IF(ISBLANK(B582),"",VLOOKUP(B582,formules!E:K,7,0))</f>
        <v/>
      </c>
      <c r="G582" s="17" t="str">
        <f>IF(ISBLANK(B582),"",VLOOKUP(B582,formules!E:L,8,0))</f>
        <v/>
      </c>
      <c r="H582" s="1" t="str">
        <f t="shared" si="48"/>
        <v/>
      </c>
      <c r="I582" s="1"/>
      <c r="J582" s="1" t="str">
        <f t="shared" si="49"/>
        <v/>
      </c>
    </row>
    <row r="583" spans="1:10" x14ac:dyDescent="0.2">
      <c r="A583" s="1" t="str">
        <f t="shared" si="45"/>
        <v/>
      </c>
      <c r="B583" s="1"/>
      <c r="C583" s="15" t="str">
        <f t="shared" ca="1" si="46"/>
        <v/>
      </c>
      <c r="D583" s="1" t="str">
        <f>IF(ISBLANK(B583),"",VLOOKUP(B583,formules!E:F,2,0))</f>
        <v/>
      </c>
      <c r="E583" s="1" t="str">
        <f t="shared" si="47"/>
        <v/>
      </c>
      <c r="F583" s="17" t="str">
        <f>IF(ISBLANK(B583),"",VLOOKUP(B583,formules!E:K,7,0))</f>
        <v/>
      </c>
      <c r="G583" s="17" t="str">
        <f>IF(ISBLANK(B583),"",VLOOKUP(B583,formules!E:L,8,0))</f>
        <v/>
      </c>
      <c r="H583" s="1" t="str">
        <f t="shared" si="48"/>
        <v/>
      </c>
      <c r="I583" s="1"/>
      <c r="J583" s="1" t="str">
        <f t="shared" si="49"/>
        <v/>
      </c>
    </row>
    <row r="584" spans="1:10" x14ac:dyDescent="0.2">
      <c r="A584" s="1" t="str">
        <f t="shared" si="45"/>
        <v/>
      </c>
      <c r="B584" s="1"/>
      <c r="C584" s="15" t="str">
        <f t="shared" ca="1" si="46"/>
        <v/>
      </c>
      <c r="D584" s="1" t="str">
        <f>IF(ISBLANK(B584),"",VLOOKUP(B584,formules!E:F,2,0))</f>
        <v/>
      </c>
      <c r="E584" s="1" t="str">
        <f t="shared" si="47"/>
        <v/>
      </c>
      <c r="F584" s="17" t="str">
        <f>IF(ISBLANK(B584),"",VLOOKUP(B584,formules!E:K,7,0))</f>
        <v/>
      </c>
      <c r="G584" s="17" t="str">
        <f>IF(ISBLANK(B584),"",VLOOKUP(B584,formules!E:L,8,0))</f>
        <v/>
      </c>
      <c r="H584" s="1" t="str">
        <f t="shared" si="48"/>
        <v/>
      </c>
      <c r="I584" s="1"/>
      <c r="J584" s="1" t="str">
        <f t="shared" si="49"/>
        <v/>
      </c>
    </row>
    <row r="585" spans="1:10" x14ac:dyDescent="0.2">
      <c r="A585" s="1" t="str">
        <f t="shared" si="45"/>
        <v/>
      </c>
      <c r="B585" s="1"/>
      <c r="C585" s="15" t="str">
        <f t="shared" ca="1" si="46"/>
        <v/>
      </c>
      <c r="D585" s="1" t="str">
        <f>IF(ISBLANK(B585),"",VLOOKUP(B585,formules!E:F,2,0))</f>
        <v/>
      </c>
      <c r="E585" s="1" t="str">
        <f t="shared" si="47"/>
        <v/>
      </c>
      <c r="F585" s="17" t="str">
        <f>IF(ISBLANK(B585),"",VLOOKUP(B585,formules!E:K,7,0))</f>
        <v/>
      </c>
      <c r="G585" s="17" t="str">
        <f>IF(ISBLANK(B585),"",VLOOKUP(B585,formules!E:L,8,0))</f>
        <v/>
      </c>
      <c r="H585" s="1" t="str">
        <f t="shared" si="48"/>
        <v/>
      </c>
      <c r="I585" s="1"/>
      <c r="J585" s="1" t="str">
        <f t="shared" si="49"/>
        <v/>
      </c>
    </row>
    <row r="586" spans="1:10" x14ac:dyDescent="0.2">
      <c r="A586" s="1" t="str">
        <f t="shared" si="45"/>
        <v/>
      </c>
      <c r="B586" s="1"/>
      <c r="C586" s="15" t="str">
        <f t="shared" ca="1" si="46"/>
        <v/>
      </c>
      <c r="D586" s="1" t="str">
        <f>IF(ISBLANK(B586),"",VLOOKUP(B586,formules!E:F,2,0))</f>
        <v/>
      </c>
      <c r="E586" s="1" t="str">
        <f t="shared" si="47"/>
        <v/>
      </c>
      <c r="F586" s="17" t="str">
        <f>IF(ISBLANK(B586),"",VLOOKUP(B586,formules!E:K,7,0))</f>
        <v/>
      </c>
      <c r="G586" s="17" t="str">
        <f>IF(ISBLANK(B586),"",VLOOKUP(B586,formules!E:L,8,0))</f>
        <v/>
      </c>
      <c r="H586" s="1" t="str">
        <f t="shared" si="48"/>
        <v/>
      </c>
      <c r="I586" s="1"/>
      <c r="J586" s="1" t="str">
        <f t="shared" si="49"/>
        <v/>
      </c>
    </row>
    <row r="587" spans="1:10" x14ac:dyDescent="0.2">
      <c r="A587" s="1" t="str">
        <f t="shared" si="45"/>
        <v/>
      </c>
      <c r="B587" s="1"/>
      <c r="C587" s="15" t="str">
        <f t="shared" ca="1" si="46"/>
        <v/>
      </c>
      <c r="D587" s="1" t="str">
        <f>IF(ISBLANK(B587),"",VLOOKUP(B587,formules!E:F,2,0))</f>
        <v/>
      </c>
      <c r="E587" s="1" t="str">
        <f t="shared" si="47"/>
        <v/>
      </c>
      <c r="F587" s="17" t="str">
        <f>IF(ISBLANK(B587),"",VLOOKUP(B587,formules!E:K,7,0))</f>
        <v/>
      </c>
      <c r="G587" s="17" t="str">
        <f>IF(ISBLANK(B587),"",VLOOKUP(B587,formules!E:L,8,0))</f>
        <v/>
      </c>
      <c r="H587" s="1" t="str">
        <f t="shared" si="48"/>
        <v/>
      </c>
      <c r="I587" s="1"/>
      <c r="J587" s="1" t="str">
        <f t="shared" si="49"/>
        <v/>
      </c>
    </row>
    <row r="588" spans="1:10" x14ac:dyDescent="0.2">
      <c r="A588" s="1" t="str">
        <f t="shared" si="45"/>
        <v/>
      </c>
      <c r="B588" s="1"/>
      <c r="C588" s="15" t="str">
        <f t="shared" ca="1" si="46"/>
        <v/>
      </c>
      <c r="D588" s="1" t="str">
        <f>IF(ISBLANK(B588),"",VLOOKUP(B588,formules!E:F,2,0))</f>
        <v/>
      </c>
      <c r="E588" s="1" t="str">
        <f t="shared" si="47"/>
        <v/>
      </c>
      <c r="F588" s="17" t="str">
        <f>IF(ISBLANK(B588),"",VLOOKUP(B588,formules!E:K,7,0))</f>
        <v/>
      </c>
      <c r="G588" s="17" t="str">
        <f>IF(ISBLANK(B588),"",VLOOKUP(B588,formules!E:L,8,0))</f>
        <v/>
      </c>
      <c r="H588" s="1" t="str">
        <f t="shared" si="48"/>
        <v/>
      </c>
      <c r="I588" s="1"/>
      <c r="J588" s="1" t="str">
        <f t="shared" si="49"/>
        <v/>
      </c>
    </row>
    <row r="589" spans="1:10" x14ac:dyDescent="0.2">
      <c r="A589" s="1" t="str">
        <f t="shared" si="45"/>
        <v/>
      </c>
      <c r="B589" s="1"/>
      <c r="C589" s="15" t="str">
        <f t="shared" ca="1" si="46"/>
        <v/>
      </c>
      <c r="D589" s="1" t="str">
        <f>IF(ISBLANK(B589),"",VLOOKUP(B589,formules!E:F,2,0))</f>
        <v/>
      </c>
      <c r="E589" s="1" t="str">
        <f t="shared" si="47"/>
        <v/>
      </c>
      <c r="F589" s="17" t="str">
        <f>IF(ISBLANK(B589),"",VLOOKUP(B589,formules!E:K,7,0))</f>
        <v/>
      </c>
      <c r="G589" s="17" t="str">
        <f>IF(ISBLANK(B589),"",VLOOKUP(B589,formules!E:L,8,0))</f>
        <v/>
      </c>
      <c r="H589" s="1" t="str">
        <f t="shared" si="48"/>
        <v/>
      </c>
      <c r="I589" s="1"/>
      <c r="J589" s="1" t="str">
        <f t="shared" si="49"/>
        <v/>
      </c>
    </row>
    <row r="590" spans="1:10" x14ac:dyDescent="0.2">
      <c r="A590" s="1" t="str">
        <f t="shared" si="45"/>
        <v/>
      </c>
      <c r="B590" s="1"/>
      <c r="C590" s="15" t="str">
        <f t="shared" ca="1" si="46"/>
        <v/>
      </c>
      <c r="D590" s="1" t="str">
        <f>IF(ISBLANK(B590),"",VLOOKUP(B590,formules!E:F,2,0))</f>
        <v/>
      </c>
      <c r="E590" s="1" t="str">
        <f t="shared" si="47"/>
        <v/>
      </c>
      <c r="F590" s="17" t="str">
        <f>IF(ISBLANK(B590),"",VLOOKUP(B590,formules!E:K,7,0))</f>
        <v/>
      </c>
      <c r="G590" s="17" t="str">
        <f>IF(ISBLANK(B590),"",VLOOKUP(B590,formules!E:L,8,0))</f>
        <v/>
      </c>
      <c r="H590" s="1" t="str">
        <f t="shared" si="48"/>
        <v/>
      </c>
      <c r="I590" s="1"/>
      <c r="J590" s="1" t="str">
        <f t="shared" si="49"/>
        <v/>
      </c>
    </row>
    <row r="591" spans="1:10" x14ac:dyDescent="0.2">
      <c r="A591" s="1" t="str">
        <f t="shared" si="45"/>
        <v/>
      </c>
      <c r="B591" s="1"/>
      <c r="C591" s="15" t="str">
        <f t="shared" ca="1" si="46"/>
        <v/>
      </c>
      <c r="D591" s="1" t="str">
        <f>IF(ISBLANK(B591),"",VLOOKUP(B591,formules!E:F,2,0))</f>
        <v/>
      </c>
      <c r="E591" s="1" t="str">
        <f t="shared" si="47"/>
        <v/>
      </c>
      <c r="F591" s="17" t="str">
        <f>IF(ISBLANK(B591),"",VLOOKUP(B591,formules!E:K,7,0))</f>
        <v/>
      </c>
      <c r="G591" s="17" t="str">
        <f>IF(ISBLANK(B591),"",VLOOKUP(B591,formules!E:L,8,0))</f>
        <v/>
      </c>
      <c r="H591" s="1" t="str">
        <f t="shared" si="48"/>
        <v/>
      </c>
      <c r="I591" s="1"/>
      <c r="J591" s="1" t="str">
        <f t="shared" si="49"/>
        <v/>
      </c>
    </row>
    <row r="592" spans="1:10" x14ac:dyDescent="0.2">
      <c r="A592" s="1" t="str">
        <f t="shared" si="45"/>
        <v/>
      </c>
      <c r="B592" s="1"/>
      <c r="C592" s="15" t="str">
        <f t="shared" ca="1" si="46"/>
        <v/>
      </c>
      <c r="D592" s="1" t="str">
        <f>IF(ISBLANK(B592),"",VLOOKUP(B592,formules!E:F,2,0))</f>
        <v/>
      </c>
      <c r="E592" s="1" t="str">
        <f t="shared" si="47"/>
        <v/>
      </c>
      <c r="F592" s="17" t="str">
        <f>IF(ISBLANK(B592),"",VLOOKUP(B592,formules!E:K,7,0))</f>
        <v/>
      </c>
      <c r="G592" s="17" t="str">
        <f>IF(ISBLANK(B592),"",VLOOKUP(B592,formules!E:L,8,0))</f>
        <v/>
      </c>
      <c r="H592" s="1" t="str">
        <f t="shared" si="48"/>
        <v/>
      </c>
      <c r="I592" s="1"/>
      <c r="J592" s="1" t="str">
        <f t="shared" si="49"/>
        <v/>
      </c>
    </row>
    <row r="593" spans="1:10" x14ac:dyDescent="0.2">
      <c r="A593" s="1" t="str">
        <f t="shared" si="45"/>
        <v/>
      </c>
      <c r="B593" s="1"/>
      <c r="C593" s="15" t="str">
        <f t="shared" ca="1" si="46"/>
        <v/>
      </c>
      <c r="D593" s="1" t="str">
        <f>IF(ISBLANK(B593),"",VLOOKUP(B593,formules!E:F,2,0))</f>
        <v/>
      </c>
      <c r="E593" s="1" t="str">
        <f t="shared" si="47"/>
        <v/>
      </c>
      <c r="F593" s="17" t="str">
        <f>IF(ISBLANK(B593),"",VLOOKUP(B593,formules!E:K,7,0))</f>
        <v/>
      </c>
      <c r="G593" s="17" t="str">
        <f>IF(ISBLANK(B593),"",VLOOKUP(B593,formules!E:L,8,0))</f>
        <v/>
      </c>
      <c r="H593" s="1" t="str">
        <f t="shared" si="48"/>
        <v/>
      </c>
      <c r="I593" s="1"/>
      <c r="J593" s="1" t="str">
        <f t="shared" si="49"/>
        <v/>
      </c>
    </row>
    <row r="594" spans="1:10" x14ac:dyDescent="0.2">
      <c r="A594" s="1" t="str">
        <f t="shared" si="45"/>
        <v/>
      </c>
      <c r="B594" s="1"/>
      <c r="C594" s="15" t="str">
        <f t="shared" ca="1" si="46"/>
        <v/>
      </c>
      <c r="D594" s="1" t="str">
        <f>IF(ISBLANK(B594),"",VLOOKUP(B594,formules!E:F,2,0))</f>
        <v/>
      </c>
      <c r="E594" s="1" t="str">
        <f t="shared" si="47"/>
        <v/>
      </c>
      <c r="F594" s="17" t="str">
        <f>IF(ISBLANK(B594),"",VLOOKUP(B594,formules!E:K,7,0))</f>
        <v/>
      </c>
      <c r="G594" s="17" t="str">
        <f>IF(ISBLANK(B594),"",VLOOKUP(B594,formules!E:L,8,0))</f>
        <v/>
      </c>
      <c r="H594" s="1" t="str">
        <f t="shared" si="48"/>
        <v/>
      </c>
      <c r="I594" s="1"/>
      <c r="J594" s="1" t="str">
        <f t="shared" si="49"/>
        <v/>
      </c>
    </row>
    <row r="595" spans="1:10" x14ac:dyDescent="0.2">
      <c r="A595" s="1" t="str">
        <f t="shared" si="45"/>
        <v/>
      </c>
      <c r="B595" s="1"/>
      <c r="C595" s="15" t="str">
        <f t="shared" ca="1" si="46"/>
        <v/>
      </c>
      <c r="D595" s="1" t="str">
        <f>IF(ISBLANK(B595),"",VLOOKUP(B595,formules!E:F,2,0))</f>
        <v/>
      </c>
      <c r="E595" s="1" t="str">
        <f t="shared" si="47"/>
        <v/>
      </c>
      <c r="F595" s="17" t="str">
        <f>IF(ISBLANK(B595),"",VLOOKUP(B595,formules!E:K,7,0))</f>
        <v/>
      </c>
      <c r="G595" s="17" t="str">
        <f>IF(ISBLANK(B595),"",VLOOKUP(B595,formules!E:L,8,0))</f>
        <v/>
      </c>
      <c r="H595" s="1" t="str">
        <f t="shared" si="48"/>
        <v/>
      </c>
      <c r="I595" s="1"/>
      <c r="J595" s="1" t="str">
        <f t="shared" si="49"/>
        <v/>
      </c>
    </row>
    <row r="596" spans="1:10" x14ac:dyDescent="0.2">
      <c r="A596" s="1" t="str">
        <f t="shared" si="45"/>
        <v/>
      </c>
      <c r="B596" s="1"/>
      <c r="C596" s="15" t="str">
        <f t="shared" ca="1" si="46"/>
        <v/>
      </c>
      <c r="D596" s="1" t="str">
        <f>IF(ISBLANK(B596),"",VLOOKUP(B596,formules!E:F,2,0))</f>
        <v/>
      </c>
      <c r="E596" s="1" t="str">
        <f t="shared" si="47"/>
        <v/>
      </c>
      <c r="F596" s="17" t="str">
        <f>IF(ISBLANK(B596),"",VLOOKUP(B596,formules!E:K,7,0))</f>
        <v/>
      </c>
      <c r="G596" s="17" t="str">
        <f>IF(ISBLANK(B596),"",VLOOKUP(B596,formules!E:L,8,0))</f>
        <v/>
      </c>
      <c r="H596" s="1" t="str">
        <f t="shared" si="48"/>
        <v/>
      </c>
      <c r="I596" s="1"/>
      <c r="J596" s="1" t="str">
        <f t="shared" si="49"/>
        <v/>
      </c>
    </row>
    <row r="597" spans="1:10" x14ac:dyDescent="0.2">
      <c r="A597" s="1" t="str">
        <f t="shared" si="45"/>
        <v/>
      </c>
      <c r="B597" s="1"/>
      <c r="C597" s="15" t="str">
        <f t="shared" ca="1" si="46"/>
        <v/>
      </c>
      <c r="D597" s="1" t="str">
        <f>IF(ISBLANK(B597),"",VLOOKUP(B597,formules!E:F,2,0))</f>
        <v/>
      </c>
      <c r="E597" s="1" t="str">
        <f t="shared" si="47"/>
        <v/>
      </c>
      <c r="F597" s="17" t="str">
        <f>IF(ISBLANK(B597),"",VLOOKUP(B597,formules!E:K,7,0))</f>
        <v/>
      </c>
      <c r="G597" s="17" t="str">
        <f>IF(ISBLANK(B597),"",VLOOKUP(B597,formules!E:L,8,0))</f>
        <v/>
      </c>
      <c r="H597" s="1" t="str">
        <f t="shared" si="48"/>
        <v/>
      </c>
      <c r="I597" s="1"/>
      <c r="J597" s="1" t="str">
        <f t="shared" si="49"/>
        <v/>
      </c>
    </row>
    <row r="598" spans="1:10" x14ac:dyDescent="0.2">
      <c r="A598" s="1" t="str">
        <f t="shared" si="45"/>
        <v/>
      </c>
      <c r="B598" s="1"/>
      <c r="C598" s="15" t="str">
        <f t="shared" ca="1" si="46"/>
        <v/>
      </c>
      <c r="D598" s="1" t="str">
        <f>IF(ISBLANK(B598),"",VLOOKUP(B598,formules!E:F,2,0))</f>
        <v/>
      </c>
      <c r="E598" s="1" t="str">
        <f t="shared" si="47"/>
        <v/>
      </c>
      <c r="F598" s="17" t="str">
        <f>IF(ISBLANK(B598),"",VLOOKUP(B598,formules!E:K,7,0))</f>
        <v/>
      </c>
      <c r="G598" s="17" t="str">
        <f>IF(ISBLANK(B598),"",VLOOKUP(B598,formules!E:L,8,0))</f>
        <v/>
      </c>
      <c r="H598" s="1" t="str">
        <f t="shared" si="48"/>
        <v/>
      </c>
      <c r="I598" s="1"/>
      <c r="J598" s="1" t="str">
        <f t="shared" si="49"/>
        <v/>
      </c>
    </row>
    <row r="599" spans="1:10" x14ac:dyDescent="0.2">
      <c r="A599" s="1" t="str">
        <f t="shared" si="45"/>
        <v/>
      </c>
      <c r="B599" s="1"/>
      <c r="C599" s="15" t="str">
        <f t="shared" ca="1" si="46"/>
        <v/>
      </c>
      <c r="D599" s="1" t="str">
        <f>IF(ISBLANK(B599),"",VLOOKUP(B599,formules!E:F,2,0))</f>
        <v/>
      </c>
      <c r="E599" s="1" t="str">
        <f t="shared" si="47"/>
        <v/>
      </c>
      <c r="F599" s="17" t="str">
        <f>IF(ISBLANK(B599),"",VLOOKUP(B599,formules!E:K,7,0))</f>
        <v/>
      </c>
      <c r="G599" s="17" t="str">
        <f>IF(ISBLANK(B599),"",VLOOKUP(B599,formules!E:L,8,0))</f>
        <v/>
      </c>
      <c r="H599" s="1" t="str">
        <f t="shared" si="48"/>
        <v/>
      </c>
      <c r="I599" s="1"/>
      <c r="J599" s="1" t="str">
        <f t="shared" si="49"/>
        <v/>
      </c>
    </row>
    <row r="600" spans="1:10" x14ac:dyDescent="0.2">
      <c r="A600" s="1" t="str">
        <f t="shared" si="45"/>
        <v/>
      </c>
      <c r="B600" s="1"/>
      <c r="C600" s="15" t="str">
        <f t="shared" ca="1" si="46"/>
        <v/>
      </c>
      <c r="D600" s="1" t="str">
        <f>IF(ISBLANK(B600),"",VLOOKUP(B600,formules!E:F,2,0))</f>
        <v/>
      </c>
      <c r="E600" s="1" t="str">
        <f t="shared" si="47"/>
        <v/>
      </c>
      <c r="F600" s="17" t="str">
        <f>IF(ISBLANK(B600),"",VLOOKUP(B600,formules!E:K,7,0))</f>
        <v/>
      </c>
      <c r="G600" s="17" t="str">
        <f>IF(ISBLANK(B600),"",VLOOKUP(B600,formules!E:L,8,0))</f>
        <v/>
      </c>
      <c r="H600" s="1" t="str">
        <f t="shared" si="48"/>
        <v/>
      </c>
      <c r="I600" s="1"/>
      <c r="J600" s="1" t="str">
        <f t="shared" si="49"/>
        <v/>
      </c>
    </row>
    <row r="601" spans="1:10" x14ac:dyDescent="0.2">
      <c r="A601" s="1" t="str">
        <f t="shared" si="45"/>
        <v/>
      </c>
      <c r="B601" s="1"/>
      <c r="C601" s="15" t="str">
        <f t="shared" ca="1" si="46"/>
        <v/>
      </c>
      <c r="D601" s="1" t="str">
        <f>IF(ISBLANK(B601),"",VLOOKUP(B601,formules!E:F,2,0))</f>
        <v/>
      </c>
      <c r="E601" s="1" t="str">
        <f t="shared" si="47"/>
        <v/>
      </c>
      <c r="F601" s="17" t="str">
        <f>IF(ISBLANK(B601),"",VLOOKUP(B601,formules!E:K,7,0))</f>
        <v/>
      </c>
      <c r="G601" s="17" t="str">
        <f>IF(ISBLANK(B601),"",VLOOKUP(B601,formules!E:L,8,0))</f>
        <v/>
      </c>
      <c r="H601" s="1" t="str">
        <f t="shared" si="48"/>
        <v/>
      </c>
      <c r="I601" s="1"/>
      <c r="J601" s="1" t="str">
        <f t="shared" si="49"/>
        <v/>
      </c>
    </row>
    <row r="602" spans="1:10" x14ac:dyDescent="0.2">
      <c r="A602" s="1" t="str">
        <f t="shared" si="45"/>
        <v/>
      </c>
      <c r="B602" s="1"/>
      <c r="C602" s="15" t="str">
        <f t="shared" ca="1" si="46"/>
        <v/>
      </c>
      <c r="D602" s="1" t="str">
        <f>IF(ISBLANK(B602),"",VLOOKUP(B602,formules!E:F,2,0))</f>
        <v/>
      </c>
      <c r="E602" s="1" t="str">
        <f t="shared" si="47"/>
        <v/>
      </c>
      <c r="F602" s="17" t="str">
        <f>IF(ISBLANK(B602),"",VLOOKUP(B602,formules!E:K,7,0))</f>
        <v/>
      </c>
      <c r="G602" s="17" t="str">
        <f>IF(ISBLANK(B602),"",VLOOKUP(B602,formules!E:L,8,0))</f>
        <v/>
      </c>
      <c r="H602" s="1" t="str">
        <f t="shared" si="48"/>
        <v/>
      </c>
      <c r="I602" s="1"/>
      <c r="J602" s="1" t="str">
        <f t="shared" si="49"/>
        <v/>
      </c>
    </row>
    <row r="603" spans="1:10" x14ac:dyDescent="0.2">
      <c r="A603" s="1" t="str">
        <f t="shared" si="45"/>
        <v/>
      </c>
      <c r="B603" s="1"/>
      <c r="C603" s="15" t="str">
        <f t="shared" ca="1" si="46"/>
        <v/>
      </c>
      <c r="D603" s="1" t="str">
        <f>IF(ISBLANK(B603),"",VLOOKUP(B603,formules!E:F,2,0))</f>
        <v/>
      </c>
      <c r="E603" s="1" t="str">
        <f t="shared" si="47"/>
        <v/>
      </c>
      <c r="F603" s="17" t="str">
        <f>IF(ISBLANK(B603),"",VLOOKUP(B603,formules!E:K,7,0))</f>
        <v/>
      </c>
      <c r="G603" s="17" t="str">
        <f>IF(ISBLANK(B603),"",VLOOKUP(B603,formules!E:L,8,0))</f>
        <v/>
      </c>
      <c r="H603" s="1" t="str">
        <f t="shared" si="48"/>
        <v/>
      </c>
      <c r="I603" s="1"/>
      <c r="J603" s="1" t="str">
        <f t="shared" si="49"/>
        <v/>
      </c>
    </row>
    <row r="604" spans="1:10" x14ac:dyDescent="0.2">
      <c r="A604" s="1" t="str">
        <f t="shared" si="45"/>
        <v/>
      </c>
      <c r="B604" s="1"/>
      <c r="C604" s="15" t="str">
        <f t="shared" ca="1" si="46"/>
        <v/>
      </c>
      <c r="D604" s="1" t="str">
        <f>IF(ISBLANK(B604),"",VLOOKUP(B604,formules!E:F,2,0))</f>
        <v/>
      </c>
      <c r="E604" s="1" t="str">
        <f t="shared" si="47"/>
        <v/>
      </c>
      <c r="F604" s="17" t="str">
        <f>IF(ISBLANK(B604),"",VLOOKUP(B604,formules!E:K,7,0))</f>
        <v/>
      </c>
      <c r="G604" s="17" t="str">
        <f>IF(ISBLANK(B604),"",VLOOKUP(B604,formules!E:L,8,0))</f>
        <v/>
      </c>
      <c r="H604" s="1" t="str">
        <f t="shared" si="48"/>
        <v/>
      </c>
      <c r="I604" s="1"/>
      <c r="J604" s="1" t="str">
        <f t="shared" si="49"/>
        <v/>
      </c>
    </row>
    <row r="605" spans="1:10" x14ac:dyDescent="0.2">
      <c r="A605" s="1" t="str">
        <f t="shared" si="45"/>
        <v/>
      </c>
      <c r="B605" s="1"/>
      <c r="C605" s="15" t="str">
        <f t="shared" ca="1" si="46"/>
        <v/>
      </c>
      <c r="D605" s="1" t="str">
        <f>IF(ISBLANK(B605),"",VLOOKUP(B605,formules!E:F,2,0))</f>
        <v/>
      </c>
      <c r="E605" s="1" t="str">
        <f t="shared" si="47"/>
        <v/>
      </c>
      <c r="F605" s="17" t="str">
        <f>IF(ISBLANK(B605),"",VLOOKUP(B605,formules!E:K,7,0))</f>
        <v/>
      </c>
      <c r="G605" s="17" t="str">
        <f>IF(ISBLANK(B605),"",VLOOKUP(B605,formules!E:L,8,0))</f>
        <v/>
      </c>
      <c r="H605" s="1" t="str">
        <f t="shared" si="48"/>
        <v/>
      </c>
      <c r="I605" s="1"/>
      <c r="J605" s="1" t="str">
        <f t="shared" si="49"/>
        <v/>
      </c>
    </row>
    <row r="606" spans="1:10" x14ac:dyDescent="0.2">
      <c r="A606" s="1" t="str">
        <f t="shared" si="45"/>
        <v/>
      </c>
      <c r="B606" s="1"/>
      <c r="C606" s="15" t="str">
        <f t="shared" ca="1" si="46"/>
        <v/>
      </c>
      <c r="D606" s="1" t="str">
        <f>IF(ISBLANK(B606),"",VLOOKUP(B606,formules!E:F,2,0))</f>
        <v/>
      </c>
      <c r="E606" s="1" t="str">
        <f t="shared" si="47"/>
        <v/>
      </c>
      <c r="F606" s="17" t="str">
        <f>IF(ISBLANK(B606),"",VLOOKUP(B606,formules!E:K,7,0))</f>
        <v/>
      </c>
      <c r="G606" s="17" t="str">
        <f>IF(ISBLANK(B606),"",VLOOKUP(B606,formules!E:L,8,0))</f>
        <v/>
      </c>
      <c r="H606" s="1" t="str">
        <f t="shared" si="48"/>
        <v/>
      </c>
      <c r="I606" s="1"/>
      <c r="J606" s="1" t="str">
        <f t="shared" si="49"/>
        <v/>
      </c>
    </row>
    <row r="607" spans="1:10" x14ac:dyDescent="0.2">
      <c r="A607" s="1" t="str">
        <f t="shared" si="45"/>
        <v/>
      </c>
      <c r="B607" s="1"/>
      <c r="C607" s="15" t="str">
        <f t="shared" ca="1" si="46"/>
        <v/>
      </c>
      <c r="D607" s="1" t="str">
        <f>IF(ISBLANK(B607),"",VLOOKUP(B607,formules!E:F,2,0))</f>
        <v/>
      </c>
      <c r="E607" s="1" t="str">
        <f t="shared" si="47"/>
        <v/>
      </c>
      <c r="F607" s="17" t="str">
        <f>IF(ISBLANK(B607),"",VLOOKUP(B607,formules!E:K,7,0))</f>
        <v/>
      </c>
      <c r="G607" s="17" t="str">
        <f>IF(ISBLANK(B607),"",VLOOKUP(B607,formules!E:L,8,0))</f>
        <v/>
      </c>
      <c r="H607" s="1" t="str">
        <f t="shared" si="48"/>
        <v/>
      </c>
      <c r="I607" s="1"/>
      <c r="J607" s="1" t="str">
        <f t="shared" si="49"/>
        <v/>
      </c>
    </row>
    <row r="608" spans="1:10" x14ac:dyDescent="0.2">
      <c r="A608" s="1" t="str">
        <f t="shared" si="45"/>
        <v/>
      </c>
      <c r="B608" s="1"/>
      <c r="C608" s="15" t="str">
        <f t="shared" ca="1" si="46"/>
        <v/>
      </c>
      <c r="D608" s="1" t="str">
        <f>IF(ISBLANK(B608),"",VLOOKUP(B608,formules!E:F,2,0))</f>
        <v/>
      </c>
      <c r="E608" s="1" t="str">
        <f t="shared" si="47"/>
        <v/>
      </c>
      <c r="F608" s="17" t="str">
        <f>IF(ISBLANK(B608),"",VLOOKUP(B608,formules!E:K,7,0))</f>
        <v/>
      </c>
      <c r="G608" s="17" t="str">
        <f>IF(ISBLANK(B608),"",VLOOKUP(B608,formules!E:L,8,0))</f>
        <v/>
      </c>
      <c r="H608" s="1" t="str">
        <f t="shared" si="48"/>
        <v/>
      </c>
      <c r="I608" s="1"/>
      <c r="J608" s="1" t="str">
        <f t="shared" si="49"/>
        <v/>
      </c>
    </row>
    <row r="609" spans="1:10" x14ac:dyDescent="0.2">
      <c r="A609" s="1" t="str">
        <f t="shared" si="45"/>
        <v/>
      </c>
      <c r="B609" s="1"/>
      <c r="C609" s="15" t="str">
        <f t="shared" ca="1" si="46"/>
        <v/>
      </c>
      <c r="D609" s="1" t="str">
        <f>IF(ISBLANK(B609),"",VLOOKUP(B609,formules!E:F,2,0))</f>
        <v/>
      </c>
      <c r="E609" s="1" t="str">
        <f t="shared" si="47"/>
        <v/>
      </c>
      <c r="F609" s="17" t="str">
        <f>IF(ISBLANK(B609),"",VLOOKUP(B609,formules!E:K,7,0))</f>
        <v/>
      </c>
      <c r="G609" s="17" t="str">
        <f>IF(ISBLANK(B609),"",VLOOKUP(B609,formules!E:L,8,0))</f>
        <v/>
      </c>
      <c r="H609" s="1" t="str">
        <f t="shared" si="48"/>
        <v/>
      </c>
      <c r="I609" s="1"/>
      <c r="J609" s="1" t="str">
        <f t="shared" si="49"/>
        <v/>
      </c>
    </row>
    <row r="610" spans="1:10" x14ac:dyDescent="0.2">
      <c r="A610" s="1" t="str">
        <f t="shared" si="45"/>
        <v/>
      </c>
      <c r="B610" s="1"/>
      <c r="C610" s="15" t="str">
        <f t="shared" ca="1" si="46"/>
        <v/>
      </c>
      <c r="D610" s="1" t="str">
        <f>IF(ISBLANK(B610),"",VLOOKUP(B610,formules!E:F,2,0))</f>
        <v/>
      </c>
      <c r="E610" s="1" t="str">
        <f t="shared" si="47"/>
        <v/>
      </c>
      <c r="F610" s="17" t="str">
        <f>IF(ISBLANK(B610),"",VLOOKUP(B610,formules!E:K,7,0))</f>
        <v/>
      </c>
      <c r="G610" s="17" t="str">
        <f>IF(ISBLANK(B610),"",VLOOKUP(B610,formules!E:L,8,0))</f>
        <v/>
      </c>
      <c r="H610" s="1" t="str">
        <f t="shared" si="48"/>
        <v/>
      </c>
      <c r="I610" s="1"/>
      <c r="J610" s="1" t="str">
        <f t="shared" si="49"/>
        <v/>
      </c>
    </row>
    <row r="611" spans="1:10" x14ac:dyDescent="0.2">
      <c r="A611" s="1" t="str">
        <f t="shared" si="45"/>
        <v/>
      </c>
      <c r="B611" s="1"/>
      <c r="C611" s="15" t="str">
        <f t="shared" ca="1" si="46"/>
        <v/>
      </c>
      <c r="D611" s="1" t="str">
        <f>IF(ISBLANK(B611),"",VLOOKUP(B611,formules!E:F,2,0))</f>
        <v/>
      </c>
      <c r="E611" s="1" t="str">
        <f t="shared" si="47"/>
        <v/>
      </c>
      <c r="F611" s="17" t="str">
        <f>IF(ISBLANK(B611),"",VLOOKUP(B611,formules!E:K,7,0))</f>
        <v/>
      </c>
      <c r="G611" s="17" t="str">
        <f>IF(ISBLANK(B611),"",VLOOKUP(B611,formules!E:L,8,0))</f>
        <v/>
      </c>
      <c r="H611" s="1" t="str">
        <f t="shared" si="48"/>
        <v/>
      </c>
      <c r="I611" s="1"/>
      <c r="J611" s="1" t="str">
        <f t="shared" si="49"/>
        <v/>
      </c>
    </row>
    <row r="612" spans="1:10" x14ac:dyDescent="0.2">
      <c r="A612" s="1" t="str">
        <f t="shared" si="45"/>
        <v/>
      </c>
      <c r="B612" s="1"/>
      <c r="C612" s="15" t="str">
        <f t="shared" ca="1" si="46"/>
        <v/>
      </c>
      <c r="D612" s="1" t="str">
        <f>IF(ISBLANK(B612),"",VLOOKUP(B612,formules!E:F,2,0))</f>
        <v/>
      </c>
      <c r="E612" s="1" t="str">
        <f t="shared" si="47"/>
        <v/>
      </c>
      <c r="F612" s="17" t="str">
        <f>IF(ISBLANK(B612),"",VLOOKUP(B612,formules!E:K,7,0))</f>
        <v/>
      </c>
      <c r="G612" s="17" t="str">
        <f>IF(ISBLANK(B612),"",VLOOKUP(B612,formules!E:L,8,0))</f>
        <v/>
      </c>
      <c r="H612" s="1" t="str">
        <f t="shared" si="48"/>
        <v/>
      </c>
      <c r="I612" s="1"/>
      <c r="J612" s="1" t="str">
        <f t="shared" si="49"/>
        <v/>
      </c>
    </row>
    <row r="613" spans="1:10" x14ac:dyDescent="0.2">
      <c r="A613" s="1" t="str">
        <f t="shared" si="45"/>
        <v/>
      </c>
      <c r="B613" s="1"/>
      <c r="C613" s="15" t="str">
        <f t="shared" ca="1" si="46"/>
        <v/>
      </c>
      <c r="D613" s="1" t="str">
        <f>IF(ISBLANK(B613),"",VLOOKUP(B613,formules!E:F,2,0))</f>
        <v/>
      </c>
      <c r="E613" s="1" t="str">
        <f t="shared" si="47"/>
        <v/>
      </c>
      <c r="F613" s="17" t="str">
        <f>IF(ISBLANK(B613),"",VLOOKUP(B613,formules!E:K,7,0))</f>
        <v/>
      </c>
      <c r="G613" s="17" t="str">
        <f>IF(ISBLANK(B613),"",VLOOKUP(B613,formules!E:L,8,0))</f>
        <v/>
      </c>
      <c r="H613" s="1" t="str">
        <f t="shared" si="48"/>
        <v/>
      </c>
      <c r="I613" s="1"/>
      <c r="J613" s="1" t="str">
        <f t="shared" si="49"/>
        <v/>
      </c>
    </row>
    <row r="614" spans="1:10" x14ac:dyDescent="0.2">
      <c r="A614" s="1" t="str">
        <f t="shared" si="45"/>
        <v/>
      </c>
      <c r="B614" s="1"/>
      <c r="C614" s="15" t="str">
        <f t="shared" ca="1" si="46"/>
        <v/>
      </c>
      <c r="D614" s="1" t="str">
        <f>IF(ISBLANK(B614),"",VLOOKUP(B614,formules!E:F,2,0))</f>
        <v/>
      </c>
      <c r="E614" s="1" t="str">
        <f t="shared" si="47"/>
        <v/>
      </c>
      <c r="F614" s="17" t="str">
        <f>IF(ISBLANK(B614),"",VLOOKUP(B614,formules!E:K,7,0))</f>
        <v/>
      </c>
      <c r="G614" s="17" t="str">
        <f>IF(ISBLANK(B614),"",VLOOKUP(B614,formules!E:L,8,0))</f>
        <v/>
      </c>
      <c r="H614" s="1" t="str">
        <f t="shared" si="48"/>
        <v/>
      </c>
      <c r="I614" s="1"/>
      <c r="J614" s="1" t="str">
        <f t="shared" si="49"/>
        <v/>
      </c>
    </row>
    <row r="615" spans="1:10" x14ac:dyDescent="0.2">
      <c r="A615" s="1" t="str">
        <f t="shared" si="45"/>
        <v/>
      </c>
      <c r="B615" s="1"/>
      <c r="C615" s="15" t="str">
        <f t="shared" ca="1" si="46"/>
        <v/>
      </c>
      <c r="D615" s="1" t="str">
        <f>IF(ISBLANK(B615),"",VLOOKUP(B615,formules!E:F,2,0))</f>
        <v/>
      </c>
      <c r="E615" s="1" t="str">
        <f t="shared" si="47"/>
        <v/>
      </c>
      <c r="F615" s="17" t="str">
        <f>IF(ISBLANK(B615),"",VLOOKUP(B615,formules!E:K,7,0))</f>
        <v/>
      </c>
      <c r="G615" s="17" t="str">
        <f>IF(ISBLANK(B615),"",VLOOKUP(B615,formules!E:L,8,0))</f>
        <v/>
      </c>
      <c r="H615" s="1" t="str">
        <f t="shared" si="48"/>
        <v/>
      </c>
      <c r="I615" s="1"/>
      <c r="J615" s="1" t="str">
        <f t="shared" si="49"/>
        <v/>
      </c>
    </row>
    <row r="616" spans="1:10" x14ac:dyDescent="0.2">
      <c r="A616" s="1" t="str">
        <f t="shared" si="45"/>
        <v/>
      </c>
      <c r="B616" s="1"/>
      <c r="C616" s="15" t="str">
        <f t="shared" ca="1" si="46"/>
        <v/>
      </c>
      <c r="D616" s="1" t="str">
        <f>IF(ISBLANK(B616),"",VLOOKUP(B616,formules!E:F,2,0))</f>
        <v/>
      </c>
      <c r="E616" s="1" t="str">
        <f t="shared" si="47"/>
        <v/>
      </c>
      <c r="F616" s="17" t="str">
        <f>IF(ISBLANK(B616),"",VLOOKUP(B616,formules!E:K,7,0))</f>
        <v/>
      </c>
      <c r="G616" s="17" t="str">
        <f>IF(ISBLANK(B616),"",VLOOKUP(B616,formules!E:L,8,0))</f>
        <v/>
      </c>
      <c r="H616" s="1" t="str">
        <f t="shared" si="48"/>
        <v/>
      </c>
      <c r="I616" s="1"/>
      <c r="J616" s="1" t="str">
        <f t="shared" si="49"/>
        <v/>
      </c>
    </row>
    <row r="617" spans="1:10" x14ac:dyDescent="0.2">
      <c r="A617" s="1" t="str">
        <f t="shared" si="45"/>
        <v/>
      </c>
      <c r="B617" s="1"/>
      <c r="C617" s="15" t="str">
        <f t="shared" ca="1" si="46"/>
        <v/>
      </c>
      <c r="D617" s="1" t="str">
        <f>IF(ISBLANK(B617),"",VLOOKUP(B617,formules!E:F,2,0))</f>
        <v/>
      </c>
      <c r="E617" s="1" t="str">
        <f t="shared" si="47"/>
        <v/>
      </c>
      <c r="F617" s="17" t="str">
        <f>IF(ISBLANK(B617),"",VLOOKUP(B617,formules!E:K,7,0))</f>
        <v/>
      </c>
      <c r="G617" s="17" t="str">
        <f>IF(ISBLANK(B617),"",VLOOKUP(B617,formules!E:L,8,0))</f>
        <v/>
      </c>
      <c r="H617" s="1" t="str">
        <f t="shared" si="48"/>
        <v/>
      </c>
      <c r="I617" s="1"/>
      <c r="J617" s="1" t="str">
        <f t="shared" si="49"/>
        <v/>
      </c>
    </row>
    <row r="618" spans="1:10" x14ac:dyDescent="0.2">
      <c r="A618" s="1" t="str">
        <f t="shared" si="45"/>
        <v/>
      </c>
      <c r="B618" s="1"/>
      <c r="C618" s="15" t="str">
        <f t="shared" ca="1" si="46"/>
        <v/>
      </c>
      <c r="D618" s="1" t="str">
        <f>IF(ISBLANK(B618),"",VLOOKUP(B618,formules!E:F,2,0))</f>
        <v/>
      </c>
      <c r="E618" s="1" t="str">
        <f t="shared" si="47"/>
        <v/>
      </c>
      <c r="F618" s="17" t="str">
        <f>IF(ISBLANK(B618),"",VLOOKUP(B618,formules!E:K,7,0))</f>
        <v/>
      </c>
      <c r="G618" s="17" t="str">
        <f>IF(ISBLANK(B618),"",VLOOKUP(B618,formules!E:L,8,0))</f>
        <v/>
      </c>
      <c r="H618" s="1" t="str">
        <f t="shared" si="48"/>
        <v/>
      </c>
      <c r="I618" s="1"/>
      <c r="J618" s="1" t="str">
        <f t="shared" si="49"/>
        <v/>
      </c>
    </row>
    <row r="619" spans="1:10" x14ac:dyDescent="0.2">
      <c r="A619" s="1" t="str">
        <f t="shared" si="45"/>
        <v/>
      </c>
      <c r="B619" s="1"/>
      <c r="C619" s="15" t="str">
        <f t="shared" ca="1" si="46"/>
        <v/>
      </c>
      <c r="D619" s="1" t="str">
        <f>IF(ISBLANK(B619),"",VLOOKUP(B619,formules!E:F,2,0))</f>
        <v/>
      </c>
      <c r="E619" s="1" t="str">
        <f t="shared" si="47"/>
        <v/>
      </c>
      <c r="F619" s="17" t="str">
        <f>IF(ISBLANK(B619),"",VLOOKUP(B619,formules!E:K,7,0))</f>
        <v/>
      </c>
      <c r="G619" s="17" t="str">
        <f>IF(ISBLANK(B619),"",VLOOKUP(B619,formules!E:L,8,0))</f>
        <v/>
      </c>
      <c r="H619" s="1" t="str">
        <f t="shared" si="48"/>
        <v/>
      </c>
      <c r="I619" s="1"/>
      <c r="J619" s="1" t="str">
        <f t="shared" si="49"/>
        <v/>
      </c>
    </row>
    <row r="620" spans="1:10" x14ac:dyDescent="0.2">
      <c r="A620" s="1" t="str">
        <f t="shared" si="45"/>
        <v/>
      </c>
      <c r="B620" s="1"/>
      <c r="C620" s="15" t="str">
        <f t="shared" ca="1" si="46"/>
        <v/>
      </c>
      <c r="D620" s="1" t="str">
        <f>IF(ISBLANK(B620),"",VLOOKUP(B620,formules!E:F,2,0))</f>
        <v/>
      </c>
      <c r="E620" s="1" t="str">
        <f t="shared" si="47"/>
        <v/>
      </c>
      <c r="F620" s="17" t="str">
        <f>IF(ISBLANK(B620),"",VLOOKUP(B620,formules!E:K,7,0))</f>
        <v/>
      </c>
      <c r="G620" s="17" t="str">
        <f>IF(ISBLANK(B620),"",VLOOKUP(B620,formules!E:L,8,0))</f>
        <v/>
      </c>
      <c r="H620" s="1" t="str">
        <f t="shared" si="48"/>
        <v/>
      </c>
      <c r="I620" s="1"/>
      <c r="J620" s="1" t="str">
        <f t="shared" si="49"/>
        <v/>
      </c>
    </row>
    <row r="621" spans="1:10" x14ac:dyDescent="0.2">
      <c r="A621" s="1" t="str">
        <f t="shared" si="45"/>
        <v/>
      </c>
      <c r="B621" s="1"/>
      <c r="C621" s="15" t="str">
        <f t="shared" ca="1" si="46"/>
        <v/>
      </c>
      <c r="D621" s="1" t="str">
        <f>IF(ISBLANK(B621),"",VLOOKUP(B621,formules!E:F,2,0))</f>
        <v/>
      </c>
      <c r="E621" s="1" t="str">
        <f t="shared" si="47"/>
        <v/>
      </c>
      <c r="F621" s="17" t="str">
        <f>IF(ISBLANK(B621),"",VLOOKUP(B621,formules!E:K,7,0))</f>
        <v/>
      </c>
      <c r="G621" s="17" t="str">
        <f>IF(ISBLANK(B621),"",VLOOKUP(B621,formules!E:L,8,0))</f>
        <v/>
      </c>
      <c r="H621" s="1" t="str">
        <f t="shared" si="48"/>
        <v/>
      </c>
      <c r="I621" s="1"/>
      <c r="J621" s="1" t="str">
        <f t="shared" si="49"/>
        <v/>
      </c>
    </row>
    <row r="622" spans="1:10" x14ac:dyDescent="0.2">
      <c r="A622" s="1" t="str">
        <f t="shared" si="45"/>
        <v/>
      </c>
      <c r="B622" s="1"/>
      <c r="C622" s="15" t="str">
        <f t="shared" ca="1" si="46"/>
        <v/>
      </c>
      <c r="D622" s="1" t="str">
        <f>IF(ISBLANK(B622),"",VLOOKUP(B622,formules!E:F,2,0))</f>
        <v/>
      </c>
      <c r="E622" s="1" t="str">
        <f t="shared" si="47"/>
        <v/>
      </c>
      <c r="F622" s="17" t="str">
        <f>IF(ISBLANK(B622),"",VLOOKUP(B622,formules!E:K,7,0))</f>
        <v/>
      </c>
      <c r="G622" s="17" t="str">
        <f>IF(ISBLANK(B622),"",VLOOKUP(B622,formules!E:L,8,0))</f>
        <v/>
      </c>
      <c r="H622" s="1" t="str">
        <f t="shared" si="48"/>
        <v/>
      </c>
      <c r="I622" s="1"/>
      <c r="J622" s="1" t="str">
        <f t="shared" si="49"/>
        <v/>
      </c>
    </row>
    <row r="623" spans="1:10" x14ac:dyDescent="0.2">
      <c r="A623" s="1" t="str">
        <f t="shared" si="45"/>
        <v/>
      </c>
      <c r="B623" s="1"/>
      <c r="C623" s="15" t="str">
        <f t="shared" ca="1" si="46"/>
        <v/>
      </c>
      <c r="D623" s="1" t="str">
        <f>IF(ISBLANK(B623),"",VLOOKUP(B623,formules!E:F,2,0))</f>
        <v/>
      </c>
      <c r="E623" s="1" t="str">
        <f t="shared" si="47"/>
        <v/>
      </c>
      <c r="F623" s="17" t="str">
        <f>IF(ISBLANK(B623),"",VLOOKUP(B623,formules!E:K,7,0))</f>
        <v/>
      </c>
      <c r="G623" s="17" t="str">
        <f>IF(ISBLANK(B623),"",VLOOKUP(B623,formules!E:L,8,0))</f>
        <v/>
      </c>
      <c r="H623" s="1" t="str">
        <f t="shared" si="48"/>
        <v/>
      </c>
      <c r="I623" s="1"/>
      <c r="J623" s="1" t="str">
        <f t="shared" si="49"/>
        <v/>
      </c>
    </row>
    <row r="624" spans="1:10" x14ac:dyDescent="0.2">
      <c r="A624" s="1" t="str">
        <f t="shared" si="45"/>
        <v/>
      </c>
      <c r="B624" s="1"/>
      <c r="C624" s="15" t="str">
        <f t="shared" ca="1" si="46"/>
        <v/>
      </c>
      <c r="D624" s="1" t="str">
        <f>IF(ISBLANK(B624),"",VLOOKUP(B624,formules!E:F,2,0))</f>
        <v/>
      </c>
      <c r="E624" s="1" t="str">
        <f t="shared" si="47"/>
        <v/>
      </c>
      <c r="F624" s="17" t="str">
        <f>IF(ISBLANK(B624),"",VLOOKUP(B624,formules!E:K,7,0))</f>
        <v/>
      </c>
      <c r="G624" s="17" t="str">
        <f>IF(ISBLANK(B624),"",VLOOKUP(B624,formules!E:L,8,0))</f>
        <v/>
      </c>
      <c r="H624" s="1" t="str">
        <f t="shared" si="48"/>
        <v/>
      </c>
      <c r="I624" s="1"/>
      <c r="J624" s="1" t="str">
        <f t="shared" si="49"/>
        <v/>
      </c>
    </row>
    <row r="625" spans="1:10" x14ac:dyDescent="0.2">
      <c r="A625" s="1" t="str">
        <f t="shared" si="45"/>
        <v/>
      </c>
      <c r="B625" s="1"/>
      <c r="C625" s="15" t="str">
        <f t="shared" ca="1" si="46"/>
        <v/>
      </c>
      <c r="D625" s="1" t="str">
        <f>IF(ISBLANK(B625),"",VLOOKUP(B625,formules!E:F,2,0))</f>
        <v/>
      </c>
      <c r="E625" s="1" t="str">
        <f t="shared" si="47"/>
        <v/>
      </c>
      <c r="F625" s="17" t="str">
        <f>IF(ISBLANK(B625),"",VLOOKUP(B625,formules!E:K,7,0))</f>
        <v/>
      </c>
      <c r="G625" s="17" t="str">
        <f>IF(ISBLANK(B625),"",VLOOKUP(B625,formules!E:L,8,0))</f>
        <v/>
      </c>
      <c r="H625" s="1" t="str">
        <f t="shared" si="48"/>
        <v/>
      </c>
      <c r="I625" s="1"/>
      <c r="J625" s="1" t="str">
        <f t="shared" si="49"/>
        <v/>
      </c>
    </row>
    <row r="626" spans="1:10" x14ac:dyDescent="0.2">
      <c r="A626" s="1" t="str">
        <f t="shared" si="45"/>
        <v/>
      </c>
      <c r="B626" s="1"/>
      <c r="C626" s="15" t="str">
        <f t="shared" ca="1" si="46"/>
        <v/>
      </c>
      <c r="D626" s="1" t="str">
        <f>IF(ISBLANK(B626),"",VLOOKUP(B626,formules!E:F,2,0))</f>
        <v/>
      </c>
      <c r="E626" s="1" t="str">
        <f t="shared" si="47"/>
        <v/>
      </c>
      <c r="F626" s="17" t="str">
        <f>IF(ISBLANK(B626),"",VLOOKUP(B626,formules!E:K,7,0))</f>
        <v/>
      </c>
      <c r="G626" s="17" t="str">
        <f>IF(ISBLANK(B626),"",VLOOKUP(B626,formules!E:L,8,0))</f>
        <v/>
      </c>
      <c r="H626" s="1" t="str">
        <f t="shared" si="48"/>
        <v/>
      </c>
      <c r="I626" s="1"/>
      <c r="J626" s="1" t="str">
        <f t="shared" si="49"/>
        <v/>
      </c>
    </row>
    <row r="627" spans="1:10" x14ac:dyDescent="0.2">
      <c r="A627" s="1" t="str">
        <f t="shared" si="45"/>
        <v/>
      </c>
      <c r="B627" s="1"/>
      <c r="C627" s="15" t="str">
        <f t="shared" ca="1" si="46"/>
        <v/>
      </c>
      <c r="D627" s="1" t="str">
        <f>IF(ISBLANK(B627),"",VLOOKUP(B627,formules!E:F,2,0))</f>
        <v/>
      </c>
      <c r="E627" s="1" t="str">
        <f t="shared" si="47"/>
        <v/>
      </c>
      <c r="F627" s="17" t="str">
        <f>IF(ISBLANK(B627),"",VLOOKUP(B627,formules!E:K,7,0))</f>
        <v/>
      </c>
      <c r="G627" s="17" t="str">
        <f>IF(ISBLANK(B627),"",VLOOKUP(B627,formules!E:L,8,0))</f>
        <v/>
      </c>
      <c r="H627" s="1" t="str">
        <f t="shared" si="48"/>
        <v/>
      </c>
      <c r="I627" s="1"/>
      <c r="J627" s="1" t="str">
        <f t="shared" si="49"/>
        <v/>
      </c>
    </row>
    <row r="628" spans="1:10" x14ac:dyDescent="0.2">
      <c r="A628" s="1" t="str">
        <f t="shared" si="45"/>
        <v/>
      </c>
      <c r="B628" s="1"/>
      <c r="C628" s="15" t="str">
        <f t="shared" ca="1" si="46"/>
        <v/>
      </c>
      <c r="D628" s="1" t="str">
        <f>IF(ISBLANK(B628),"",VLOOKUP(B628,formules!E:F,2,0))</f>
        <v/>
      </c>
      <c r="E628" s="1" t="str">
        <f t="shared" si="47"/>
        <v/>
      </c>
      <c r="F628" s="17" t="str">
        <f>IF(ISBLANK(B628),"",VLOOKUP(B628,formules!E:K,7,0))</f>
        <v/>
      </c>
      <c r="G628" s="17" t="str">
        <f>IF(ISBLANK(B628),"",VLOOKUP(B628,formules!E:L,8,0))</f>
        <v/>
      </c>
      <c r="H628" s="1" t="str">
        <f t="shared" si="48"/>
        <v/>
      </c>
      <c r="I628" s="1"/>
      <c r="J628" s="1" t="str">
        <f t="shared" si="49"/>
        <v/>
      </c>
    </row>
    <row r="629" spans="1:10" x14ac:dyDescent="0.2">
      <c r="A629" s="1" t="str">
        <f t="shared" si="45"/>
        <v/>
      </c>
      <c r="B629" s="1"/>
      <c r="C629" s="15" t="str">
        <f t="shared" ca="1" si="46"/>
        <v/>
      </c>
      <c r="D629" s="1" t="str">
        <f>IF(ISBLANK(B629),"",VLOOKUP(B629,formules!E:F,2,0))</f>
        <v/>
      </c>
      <c r="E629" s="1" t="str">
        <f t="shared" si="47"/>
        <v/>
      </c>
      <c r="F629" s="17" t="str">
        <f>IF(ISBLANK(B629),"",VLOOKUP(B629,formules!E:K,7,0))</f>
        <v/>
      </c>
      <c r="G629" s="17" t="str">
        <f>IF(ISBLANK(B629),"",VLOOKUP(B629,formules!E:L,8,0))</f>
        <v/>
      </c>
      <c r="H629" s="1" t="str">
        <f t="shared" si="48"/>
        <v/>
      </c>
      <c r="I629" s="1"/>
      <c r="J629" s="1" t="str">
        <f t="shared" si="49"/>
        <v/>
      </c>
    </row>
    <row r="630" spans="1:10" x14ac:dyDescent="0.2">
      <c r="A630" s="1" t="str">
        <f t="shared" si="45"/>
        <v/>
      </c>
      <c r="B630" s="1"/>
      <c r="C630" s="15" t="str">
        <f t="shared" ca="1" si="46"/>
        <v/>
      </c>
      <c r="D630" s="1" t="str">
        <f>IF(ISBLANK(B630),"",VLOOKUP(B630,formules!E:F,2,0))</f>
        <v/>
      </c>
      <c r="E630" s="1" t="str">
        <f t="shared" si="47"/>
        <v/>
      </c>
      <c r="F630" s="17" t="str">
        <f>IF(ISBLANK(B630),"",VLOOKUP(B630,formules!E:K,7,0))</f>
        <v/>
      </c>
      <c r="G630" s="17" t="str">
        <f>IF(ISBLANK(B630),"",VLOOKUP(B630,formules!E:L,8,0))</f>
        <v/>
      </c>
      <c r="H630" s="1" t="str">
        <f t="shared" si="48"/>
        <v/>
      </c>
      <c r="I630" s="1"/>
      <c r="J630" s="1" t="str">
        <f t="shared" si="49"/>
        <v/>
      </c>
    </row>
    <row r="631" spans="1:10" x14ac:dyDescent="0.2">
      <c r="A631" s="1" t="str">
        <f t="shared" si="45"/>
        <v/>
      </c>
      <c r="B631" s="1"/>
      <c r="C631" s="15" t="str">
        <f t="shared" ca="1" si="46"/>
        <v/>
      </c>
      <c r="D631" s="1" t="str">
        <f>IF(ISBLANK(B631),"",VLOOKUP(B631,formules!E:F,2,0))</f>
        <v/>
      </c>
      <c r="E631" s="1" t="str">
        <f t="shared" si="47"/>
        <v/>
      </c>
      <c r="F631" s="17" t="str">
        <f>IF(ISBLANK(B631),"",VLOOKUP(B631,formules!E:K,7,0))</f>
        <v/>
      </c>
      <c r="G631" s="17" t="str">
        <f>IF(ISBLANK(B631),"",VLOOKUP(B631,formules!E:L,8,0))</f>
        <v/>
      </c>
      <c r="H631" s="1" t="str">
        <f t="shared" si="48"/>
        <v/>
      </c>
      <c r="I631" s="1"/>
      <c r="J631" s="1" t="str">
        <f t="shared" si="49"/>
        <v/>
      </c>
    </row>
    <row r="632" spans="1:10" x14ac:dyDescent="0.2">
      <c r="A632" s="1" t="str">
        <f t="shared" si="45"/>
        <v/>
      </c>
      <c r="B632" s="1"/>
      <c r="C632" s="15" t="str">
        <f t="shared" ca="1" si="46"/>
        <v/>
      </c>
      <c r="D632" s="1" t="str">
        <f>IF(ISBLANK(B632),"",VLOOKUP(B632,formules!E:F,2,0))</f>
        <v/>
      </c>
      <c r="E632" s="1" t="str">
        <f t="shared" si="47"/>
        <v/>
      </c>
      <c r="F632" s="17" t="str">
        <f>IF(ISBLANK(B632),"",VLOOKUP(B632,formules!E:K,7,0))</f>
        <v/>
      </c>
      <c r="G632" s="17" t="str">
        <f>IF(ISBLANK(B632),"",VLOOKUP(B632,formules!E:L,8,0))</f>
        <v/>
      </c>
      <c r="H632" s="1" t="str">
        <f t="shared" si="48"/>
        <v/>
      </c>
      <c r="I632" s="1"/>
      <c r="J632" s="1" t="str">
        <f t="shared" si="49"/>
        <v/>
      </c>
    </row>
    <row r="633" spans="1:10" x14ac:dyDescent="0.2">
      <c r="A633" s="1" t="str">
        <f t="shared" si="45"/>
        <v/>
      </c>
      <c r="B633" s="1"/>
      <c r="C633" s="15" t="str">
        <f t="shared" ca="1" si="46"/>
        <v/>
      </c>
      <c r="D633" s="1" t="str">
        <f>IF(ISBLANK(B633),"",VLOOKUP(B633,formules!E:F,2,0))</f>
        <v/>
      </c>
      <c r="E633" s="1" t="str">
        <f t="shared" si="47"/>
        <v/>
      </c>
      <c r="F633" s="17" t="str">
        <f>IF(ISBLANK(B633),"",VLOOKUP(B633,formules!E:K,7,0))</f>
        <v/>
      </c>
      <c r="G633" s="17" t="str">
        <f>IF(ISBLANK(B633),"",VLOOKUP(B633,formules!E:L,8,0))</f>
        <v/>
      </c>
      <c r="H633" s="1" t="str">
        <f t="shared" si="48"/>
        <v/>
      </c>
      <c r="I633" s="1"/>
      <c r="J633" s="1" t="str">
        <f t="shared" si="49"/>
        <v/>
      </c>
    </row>
    <row r="634" spans="1:10" x14ac:dyDescent="0.2">
      <c r="A634" s="1" t="str">
        <f t="shared" si="45"/>
        <v/>
      </c>
      <c r="B634" s="1"/>
      <c r="C634" s="15" t="str">
        <f t="shared" ca="1" si="46"/>
        <v/>
      </c>
      <c r="D634" s="1" t="str">
        <f>IF(ISBLANK(B634),"",VLOOKUP(B634,formules!E:F,2,0))</f>
        <v/>
      </c>
      <c r="E634" s="1" t="str">
        <f t="shared" si="47"/>
        <v/>
      </c>
      <c r="F634" s="17" t="str">
        <f>IF(ISBLANK(B634),"",VLOOKUP(B634,formules!E:K,7,0))</f>
        <v/>
      </c>
      <c r="G634" s="17" t="str">
        <f>IF(ISBLANK(B634),"",VLOOKUP(B634,formules!E:L,8,0))</f>
        <v/>
      </c>
      <c r="H634" s="1" t="str">
        <f t="shared" si="48"/>
        <v/>
      </c>
      <c r="I634" s="1"/>
      <c r="J634" s="1" t="str">
        <f t="shared" si="49"/>
        <v/>
      </c>
    </row>
    <row r="635" spans="1:10" x14ac:dyDescent="0.2">
      <c r="A635" s="1" t="str">
        <f t="shared" si="45"/>
        <v/>
      </c>
      <c r="B635" s="1"/>
      <c r="C635" s="15" t="str">
        <f t="shared" ca="1" si="46"/>
        <v/>
      </c>
      <c r="D635" s="1" t="str">
        <f>IF(ISBLANK(B635),"",VLOOKUP(B635,formules!E:F,2,0))</f>
        <v/>
      </c>
      <c r="E635" s="1" t="str">
        <f t="shared" si="47"/>
        <v/>
      </c>
      <c r="F635" s="17" t="str">
        <f>IF(ISBLANK(B635),"",VLOOKUP(B635,formules!E:K,7,0))</f>
        <v/>
      </c>
      <c r="G635" s="17" t="str">
        <f>IF(ISBLANK(B635),"",VLOOKUP(B635,formules!E:L,8,0))</f>
        <v/>
      </c>
      <c r="H635" s="1" t="str">
        <f t="shared" si="48"/>
        <v/>
      </c>
      <c r="I635" s="1"/>
      <c r="J635" s="1" t="str">
        <f t="shared" si="49"/>
        <v/>
      </c>
    </row>
    <row r="636" spans="1:10" x14ac:dyDescent="0.2">
      <c r="A636" s="1" t="str">
        <f t="shared" si="45"/>
        <v/>
      </c>
      <c r="B636" s="1"/>
      <c r="C636" s="15" t="str">
        <f t="shared" ca="1" si="46"/>
        <v/>
      </c>
      <c r="D636" s="1" t="str">
        <f>IF(ISBLANK(B636),"",VLOOKUP(B636,formules!E:F,2,0))</f>
        <v/>
      </c>
      <c r="E636" s="1" t="str">
        <f t="shared" si="47"/>
        <v/>
      </c>
      <c r="F636" s="17" t="str">
        <f>IF(ISBLANK(B636),"",VLOOKUP(B636,formules!E:K,7,0))</f>
        <v/>
      </c>
      <c r="G636" s="17" t="str">
        <f>IF(ISBLANK(B636),"",VLOOKUP(B636,formules!E:L,8,0))</f>
        <v/>
      </c>
      <c r="H636" s="1" t="str">
        <f t="shared" si="48"/>
        <v/>
      </c>
      <c r="I636" s="1"/>
      <c r="J636" s="1" t="str">
        <f t="shared" si="49"/>
        <v/>
      </c>
    </row>
    <row r="637" spans="1:10" x14ac:dyDescent="0.2">
      <c r="A637" s="1" t="str">
        <f t="shared" si="45"/>
        <v/>
      </c>
      <c r="B637" s="1"/>
      <c r="C637" s="15" t="str">
        <f t="shared" ca="1" si="46"/>
        <v/>
      </c>
      <c r="D637" s="1" t="str">
        <f>IF(ISBLANK(B637),"",VLOOKUP(B637,formules!E:F,2,0))</f>
        <v/>
      </c>
      <c r="E637" s="1" t="str">
        <f t="shared" si="47"/>
        <v/>
      </c>
      <c r="F637" s="17" t="str">
        <f>IF(ISBLANK(B637),"",VLOOKUP(B637,formules!E:K,7,0))</f>
        <v/>
      </c>
      <c r="G637" s="17" t="str">
        <f>IF(ISBLANK(B637),"",VLOOKUP(B637,formules!E:L,8,0))</f>
        <v/>
      </c>
      <c r="H637" s="1" t="str">
        <f t="shared" si="48"/>
        <v/>
      </c>
      <c r="I637" s="1"/>
      <c r="J637" s="1" t="str">
        <f t="shared" si="49"/>
        <v/>
      </c>
    </row>
    <row r="638" spans="1:10" x14ac:dyDescent="0.2">
      <c r="A638" s="1" t="str">
        <f t="shared" si="45"/>
        <v/>
      </c>
      <c r="B638" s="1"/>
      <c r="C638" s="15" t="str">
        <f t="shared" ca="1" si="46"/>
        <v/>
      </c>
      <c r="D638" s="1" t="str">
        <f>IF(ISBLANK(B638),"",VLOOKUP(B638,formules!E:F,2,0))</f>
        <v/>
      </c>
      <c r="E638" s="1" t="str">
        <f t="shared" si="47"/>
        <v/>
      </c>
      <c r="F638" s="17" t="str">
        <f>IF(ISBLANK(B638),"",VLOOKUP(B638,formules!E:K,7,0))</f>
        <v/>
      </c>
      <c r="G638" s="17" t="str">
        <f>IF(ISBLANK(B638),"",VLOOKUP(B638,formules!E:L,8,0))</f>
        <v/>
      </c>
      <c r="H638" s="1" t="str">
        <f t="shared" si="48"/>
        <v/>
      </c>
      <c r="I638" s="1"/>
      <c r="J638" s="1" t="str">
        <f t="shared" si="49"/>
        <v/>
      </c>
    </row>
    <row r="639" spans="1:10" x14ac:dyDescent="0.2">
      <c r="A639" s="1" t="str">
        <f t="shared" si="45"/>
        <v/>
      </c>
      <c r="B639" s="1"/>
      <c r="C639" s="15" t="str">
        <f t="shared" ca="1" si="46"/>
        <v/>
      </c>
      <c r="D639" s="1" t="str">
        <f>IF(ISBLANK(B639),"",VLOOKUP(B639,formules!E:F,2,0))</f>
        <v/>
      </c>
      <c r="E639" s="1" t="str">
        <f t="shared" si="47"/>
        <v/>
      </c>
      <c r="F639" s="17" t="str">
        <f>IF(ISBLANK(B639),"",VLOOKUP(B639,formules!E:K,7,0))</f>
        <v/>
      </c>
      <c r="G639" s="17" t="str">
        <f>IF(ISBLANK(B639),"",VLOOKUP(B639,formules!E:L,8,0))</f>
        <v/>
      </c>
      <c r="H639" s="1" t="str">
        <f t="shared" si="48"/>
        <v/>
      </c>
      <c r="I639" s="1"/>
      <c r="J639" s="1" t="str">
        <f t="shared" si="49"/>
        <v/>
      </c>
    </row>
    <row r="640" spans="1:10" x14ac:dyDescent="0.2">
      <c r="A640" s="1" t="str">
        <f t="shared" si="45"/>
        <v/>
      </c>
      <c r="B640" s="1"/>
      <c r="C640" s="15" t="str">
        <f t="shared" ca="1" si="46"/>
        <v/>
      </c>
      <c r="D640" s="1" t="str">
        <f>IF(ISBLANK(B640),"",VLOOKUP(B640,formules!E:F,2,0))</f>
        <v/>
      </c>
      <c r="E640" s="1" t="str">
        <f t="shared" si="47"/>
        <v/>
      </c>
      <c r="F640" s="17" t="str">
        <f>IF(ISBLANK(B640),"",VLOOKUP(B640,formules!E:K,7,0))</f>
        <v/>
      </c>
      <c r="G640" s="17" t="str">
        <f>IF(ISBLANK(B640),"",VLOOKUP(B640,formules!E:L,8,0))</f>
        <v/>
      </c>
      <c r="H640" s="1" t="str">
        <f t="shared" si="48"/>
        <v/>
      </c>
      <c r="I640" s="1"/>
      <c r="J640" s="1" t="str">
        <f t="shared" si="49"/>
        <v/>
      </c>
    </row>
    <row r="641" spans="1:10" x14ac:dyDescent="0.2">
      <c r="A641" s="1" t="str">
        <f t="shared" si="45"/>
        <v/>
      </c>
      <c r="B641" s="1"/>
      <c r="C641" s="15" t="str">
        <f t="shared" ca="1" si="46"/>
        <v/>
      </c>
      <c r="D641" s="1" t="str">
        <f>IF(ISBLANK(B641),"",VLOOKUP(B641,formules!E:F,2,0))</f>
        <v/>
      </c>
      <c r="E641" s="1" t="str">
        <f t="shared" si="47"/>
        <v/>
      </c>
      <c r="F641" s="17" t="str">
        <f>IF(ISBLANK(B641),"",VLOOKUP(B641,formules!E:K,7,0))</f>
        <v/>
      </c>
      <c r="G641" s="17" t="str">
        <f>IF(ISBLANK(B641),"",VLOOKUP(B641,formules!E:L,8,0))</f>
        <v/>
      </c>
      <c r="H641" s="1" t="str">
        <f t="shared" si="48"/>
        <v/>
      </c>
      <c r="I641" s="1"/>
      <c r="J641" s="1" t="str">
        <f t="shared" si="49"/>
        <v/>
      </c>
    </row>
    <row r="642" spans="1:10" x14ac:dyDescent="0.2">
      <c r="A642" s="1" t="str">
        <f t="shared" si="45"/>
        <v/>
      </c>
      <c r="B642" s="1"/>
      <c r="C642" s="15" t="str">
        <f t="shared" ca="1" si="46"/>
        <v/>
      </c>
      <c r="D642" s="1" t="str">
        <f>IF(ISBLANK(B642),"",VLOOKUP(B642,formules!E:F,2,0))</f>
        <v/>
      </c>
      <c r="E642" s="1" t="str">
        <f t="shared" si="47"/>
        <v/>
      </c>
      <c r="F642" s="17" t="str">
        <f>IF(ISBLANK(B642),"",VLOOKUP(B642,formules!E:K,7,0))</f>
        <v/>
      </c>
      <c r="G642" s="17" t="str">
        <f>IF(ISBLANK(B642),"",VLOOKUP(B642,formules!E:L,8,0))</f>
        <v/>
      </c>
      <c r="H642" s="1" t="str">
        <f t="shared" si="48"/>
        <v/>
      </c>
      <c r="I642" s="1"/>
      <c r="J642" s="1" t="str">
        <f t="shared" si="49"/>
        <v/>
      </c>
    </row>
    <row r="643" spans="1:10" x14ac:dyDescent="0.2">
      <c r="A643" s="1" t="str">
        <f t="shared" ref="A643:A706" si="50">IF(ISBLANK(B643),"","variation")</f>
        <v/>
      </c>
      <c r="B643" s="1"/>
      <c r="C643" s="15" t="str">
        <f t="shared" ref="C643:C706" ca="1" si="51">IF(ISBLANK(B643),"",RANDBETWEEN(1111111111111,9999999999999))</f>
        <v/>
      </c>
      <c r="D643" s="1" t="str">
        <f>IF(ISBLANK(B643),"",VLOOKUP(B643,formules!E:F,2,0))</f>
        <v/>
      </c>
      <c r="E643" s="1" t="str">
        <f t="shared" ref="E643:E706" si="52">IF(ISBLANK(B643),"",1)</f>
        <v/>
      </c>
      <c r="F643" s="17" t="str">
        <f>IF(ISBLANK(B643),"",VLOOKUP(B643,formules!E:K,7,0))</f>
        <v/>
      </c>
      <c r="G643" s="17" t="str">
        <f>IF(ISBLANK(B643),"",VLOOKUP(B643,formules!E:L,8,0))</f>
        <v/>
      </c>
      <c r="H643" s="1" t="str">
        <f t="shared" ref="H643:H706" si="53">IF(ISBLANK(B643),"","Size")</f>
        <v/>
      </c>
      <c r="I643" s="1"/>
      <c r="J643" s="1" t="str">
        <f t="shared" ref="J643:J706" si="54">IF(ISBLANK(B643),"",1)</f>
        <v/>
      </c>
    </row>
    <row r="644" spans="1:10" x14ac:dyDescent="0.2">
      <c r="A644" s="1" t="str">
        <f t="shared" si="50"/>
        <v/>
      </c>
      <c r="B644" s="1"/>
      <c r="C644" s="15" t="str">
        <f t="shared" ca="1" si="51"/>
        <v/>
      </c>
      <c r="D644" s="1" t="str">
        <f>IF(ISBLANK(B644),"",VLOOKUP(B644,formules!E:F,2,0))</f>
        <v/>
      </c>
      <c r="E644" s="1" t="str">
        <f t="shared" si="52"/>
        <v/>
      </c>
      <c r="F644" s="17" t="str">
        <f>IF(ISBLANK(B644),"",VLOOKUP(B644,formules!E:K,7,0))</f>
        <v/>
      </c>
      <c r="G644" s="17" t="str">
        <f>IF(ISBLANK(B644),"",VLOOKUP(B644,formules!E:L,8,0))</f>
        <v/>
      </c>
      <c r="H644" s="1" t="str">
        <f t="shared" si="53"/>
        <v/>
      </c>
      <c r="I644" s="1"/>
      <c r="J644" s="1" t="str">
        <f t="shared" si="54"/>
        <v/>
      </c>
    </row>
    <row r="645" spans="1:10" x14ac:dyDescent="0.2">
      <c r="A645" s="1" t="str">
        <f t="shared" si="50"/>
        <v/>
      </c>
      <c r="B645" s="1"/>
      <c r="C645" s="15" t="str">
        <f t="shared" ca="1" si="51"/>
        <v/>
      </c>
      <c r="D645" s="1" t="str">
        <f>IF(ISBLANK(B645),"",VLOOKUP(B645,formules!E:F,2,0))</f>
        <v/>
      </c>
      <c r="E645" s="1" t="str">
        <f t="shared" si="52"/>
        <v/>
      </c>
      <c r="F645" s="17" t="str">
        <f>IF(ISBLANK(B645),"",VLOOKUP(B645,formules!E:K,7,0))</f>
        <v/>
      </c>
      <c r="G645" s="17" t="str">
        <f>IF(ISBLANK(B645),"",VLOOKUP(B645,formules!E:L,8,0))</f>
        <v/>
      </c>
      <c r="H645" s="1" t="str">
        <f t="shared" si="53"/>
        <v/>
      </c>
      <c r="I645" s="1"/>
      <c r="J645" s="1" t="str">
        <f t="shared" si="54"/>
        <v/>
      </c>
    </row>
    <row r="646" spans="1:10" x14ac:dyDescent="0.2">
      <c r="A646" s="1" t="str">
        <f t="shared" si="50"/>
        <v/>
      </c>
      <c r="B646" s="1"/>
      <c r="C646" s="15" t="str">
        <f t="shared" ca="1" si="51"/>
        <v/>
      </c>
      <c r="D646" s="1" t="str">
        <f>IF(ISBLANK(B646),"",VLOOKUP(B646,formules!E:F,2,0))</f>
        <v/>
      </c>
      <c r="E646" s="1" t="str">
        <f t="shared" si="52"/>
        <v/>
      </c>
      <c r="F646" s="17" t="str">
        <f>IF(ISBLANK(B646),"",VLOOKUP(B646,formules!E:K,7,0))</f>
        <v/>
      </c>
      <c r="G646" s="17" t="str">
        <f>IF(ISBLANK(B646),"",VLOOKUP(B646,formules!E:L,8,0))</f>
        <v/>
      </c>
      <c r="H646" s="1" t="str">
        <f t="shared" si="53"/>
        <v/>
      </c>
      <c r="I646" s="1"/>
      <c r="J646" s="1" t="str">
        <f t="shared" si="54"/>
        <v/>
      </c>
    </row>
    <row r="647" spans="1:10" x14ac:dyDescent="0.2">
      <c r="A647" s="1" t="str">
        <f t="shared" si="50"/>
        <v/>
      </c>
      <c r="B647" s="1"/>
      <c r="C647" s="15" t="str">
        <f t="shared" ca="1" si="51"/>
        <v/>
      </c>
      <c r="D647" s="1" t="str">
        <f>IF(ISBLANK(B647),"",VLOOKUP(B647,formules!E:F,2,0))</f>
        <v/>
      </c>
      <c r="E647" s="1" t="str">
        <f t="shared" si="52"/>
        <v/>
      </c>
      <c r="F647" s="17" t="str">
        <f>IF(ISBLANK(B647),"",VLOOKUP(B647,formules!E:K,7,0))</f>
        <v/>
      </c>
      <c r="G647" s="17" t="str">
        <f>IF(ISBLANK(B647),"",VLOOKUP(B647,formules!E:L,8,0))</f>
        <v/>
      </c>
      <c r="H647" s="1" t="str">
        <f t="shared" si="53"/>
        <v/>
      </c>
      <c r="I647" s="1"/>
      <c r="J647" s="1" t="str">
        <f t="shared" si="54"/>
        <v/>
      </c>
    </row>
    <row r="648" spans="1:10" x14ac:dyDescent="0.2">
      <c r="A648" s="1" t="str">
        <f t="shared" si="50"/>
        <v/>
      </c>
      <c r="B648" s="1"/>
      <c r="C648" s="15" t="str">
        <f t="shared" ca="1" si="51"/>
        <v/>
      </c>
      <c r="D648" s="1" t="str">
        <f>IF(ISBLANK(B648),"",VLOOKUP(B648,formules!E:F,2,0))</f>
        <v/>
      </c>
      <c r="E648" s="1" t="str">
        <f t="shared" si="52"/>
        <v/>
      </c>
      <c r="F648" s="17" t="str">
        <f>IF(ISBLANK(B648),"",VLOOKUP(B648,formules!E:K,7,0))</f>
        <v/>
      </c>
      <c r="G648" s="17" t="str">
        <f>IF(ISBLANK(B648),"",VLOOKUP(B648,formules!E:L,8,0))</f>
        <v/>
      </c>
      <c r="H648" s="1" t="str">
        <f t="shared" si="53"/>
        <v/>
      </c>
      <c r="I648" s="1"/>
      <c r="J648" s="1" t="str">
        <f t="shared" si="54"/>
        <v/>
      </c>
    </row>
    <row r="649" spans="1:10" x14ac:dyDescent="0.2">
      <c r="A649" s="1" t="str">
        <f t="shared" si="50"/>
        <v/>
      </c>
      <c r="B649" s="1"/>
      <c r="C649" s="15" t="str">
        <f t="shared" ca="1" si="51"/>
        <v/>
      </c>
      <c r="D649" s="1" t="str">
        <f>IF(ISBLANK(B649),"",VLOOKUP(B649,formules!E:F,2,0))</f>
        <v/>
      </c>
      <c r="E649" s="1" t="str">
        <f t="shared" si="52"/>
        <v/>
      </c>
      <c r="F649" s="17" t="str">
        <f>IF(ISBLANK(B649),"",VLOOKUP(B649,formules!E:K,7,0))</f>
        <v/>
      </c>
      <c r="G649" s="17" t="str">
        <f>IF(ISBLANK(B649),"",VLOOKUP(B649,formules!E:L,8,0))</f>
        <v/>
      </c>
      <c r="H649" s="1" t="str">
        <f t="shared" si="53"/>
        <v/>
      </c>
      <c r="I649" s="1"/>
      <c r="J649" s="1" t="str">
        <f t="shared" si="54"/>
        <v/>
      </c>
    </row>
    <row r="650" spans="1:10" x14ac:dyDescent="0.2">
      <c r="A650" s="1" t="str">
        <f t="shared" si="50"/>
        <v/>
      </c>
      <c r="B650" s="1"/>
      <c r="C650" s="15" t="str">
        <f t="shared" ca="1" si="51"/>
        <v/>
      </c>
      <c r="D650" s="1" t="str">
        <f>IF(ISBLANK(B650),"",VLOOKUP(B650,formules!E:F,2,0))</f>
        <v/>
      </c>
      <c r="E650" s="1" t="str">
        <f t="shared" si="52"/>
        <v/>
      </c>
      <c r="F650" s="17" t="str">
        <f>IF(ISBLANK(B650),"",VLOOKUP(B650,formules!E:K,7,0))</f>
        <v/>
      </c>
      <c r="G650" s="17" t="str">
        <f>IF(ISBLANK(B650),"",VLOOKUP(B650,formules!E:L,8,0))</f>
        <v/>
      </c>
      <c r="H650" s="1" t="str">
        <f t="shared" si="53"/>
        <v/>
      </c>
      <c r="I650" s="1"/>
      <c r="J650" s="1" t="str">
        <f t="shared" si="54"/>
        <v/>
      </c>
    </row>
    <row r="651" spans="1:10" x14ac:dyDescent="0.2">
      <c r="A651" s="1" t="str">
        <f t="shared" si="50"/>
        <v/>
      </c>
      <c r="B651" s="1"/>
      <c r="C651" s="15" t="str">
        <f t="shared" ca="1" si="51"/>
        <v/>
      </c>
      <c r="D651" s="1" t="str">
        <f>IF(ISBLANK(B651),"",VLOOKUP(B651,formules!E:F,2,0))</f>
        <v/>
      </c>
      <c r="E651" s="1" t="str">
        <f t="shared" si="52"/>
        <v/>
      </c>
      <c r="F651" s="17" t="str">
        <f>IF(ISBLANK(B651),"",VLOOKUP(B651,formules!E:K,7,0))</f>
        <v/>
      </c>
      <c r="G651" s="17" t="str">
        <f>IF(ISBLANK(B651),"",VLOOKUP(B651,formules!E:L,8,0))</f>
        <v/>
      </c>
      <c r="H651" s="1" t="str">
        <f t="shared" si="53"/>
        <v/>
      </c>
      <c r="I651" s="1"/>
      <c r="J651" s="1" t="str">
        <f t="shared" si="54"/>
        <v/>
      </c>
    </row>
    <row r="652" spans="1:10" x14ac:dyDescent="0.2">
      <c r="A652" s="1" t="str">
        <f t="shared" si="50"/>
        <v/>
      </c>
      <c r="B652" s="1"/>
      <c r="C652" s="15" t="str">
        <f t="shared" ca="1" si="51"/>
        <v/>
      </c>
      <c r="D652" s="1" t="str">
        <f>IF(ISBLANK(B652),"",VLOOKUP(B652,formules!E:F,2,0))</f>
        <v/>
      </c>
      <c r="E652" s="1" t="str">
        <f t="shared" si="52"/>
        <v/>
      </c>
      <c r="F652" s="17" t="str">
        <f>IF(ISBLANK(B652),"",VLOOKUP(B652,formules!E:K,7,0))</f>
        <v/>
      </c>
      <c r="G652" s="17" t="str">
        <f>IF(ISBLANK(B652),"",VLOOKUP(B652,formules!E:L,8,0))</f>
        <v/>
      </c>
      <c r="H652" s="1" t="str">
        <f t="shared" si="53"/>
        <v/>
      </c>
      <c r="I652" s="1"/>
      <c r="J652" s="1" t="str">
        <f t="shared" si="54"/>
        <v/>
      </c>
    </row>
    <row r="653" spans="1:10" x14ac:dyDescent="0.2">
      <c r="A653" s="1" t="str">
        <f t="shared" si="50"/>
        <v/>
      </c>
      <c r="B653" s="1"/>
      <c r="C653" s="15" t="str">
        <f t="shared" ca="1" si="51"/>
        <v/>
      </c>
      <c r="D653" s="1" t="str">
        <f>IF(ISBLANK(B653),"",VLOOKUP(B653,formules!E:F,2,0))</f>
        <v/>
      </c>
      <c r="E653" s="1" t="str">
        <f t="shared" si="52"/>
        <v/>
      </c>
      <c r="F653" s="17" t="str">
        <f>IF(ISBLANK(B653),"",VLOOKUP(B653,formules!E:K,7,0))</f>
        <v/>
      </c>
      <c r="G653" s="17" t="str">
        <f>IF(ISBLANK(B653),"",VLOOKUP(B653,formules!E:L,8,0))</f>
        <v/>
      </c>
      <c r="H653" s="1" t="str">
        <f t="shared" si="53"/>
        <v/>
      </c>
      <c r="I653" s="1"/>
      <c r="J653" s="1" t="str">
        <f t="shared" si="54"/>
        <v/>
      </c>
    </row>
    <row r="654" spans="1:10" x14ac:dyDescent="0.2">
      <c r="A654" s="1" t="str">
        <f t="shared" si="50"/>
        <v/>
      </c>
      <c r="B654" s="1"/>
      <c r="C654" s="15" t="str">
        <f t="shared" ca="1" si="51"/>
        <v/>
      </c>
      <c r="D654" s="1" t="str">
        <f>IF(ISBLANK(B654),"",VLOOKUP(B654,formules!E:F,2,0))</f>
        <v/>
      </c>
      <c r="E654" s="1" t="str">
        <f t="shared" si="52"/>
        <v/>
      </c>
      <c r="F654" s="17" t="str">
        <f>IF(ISBLANK(B654),"",VLOOKUP(B654,formules!E:K,7,0))</f>
        <v/>
      </c>
      <c r="G654" s="17" t="str">
        <f>IF(ISBLANK(B654),"",VLOOKUP(B654,formules!E:L,8,0))</f>
        <v/>
      </c>
      <c r="H654" s="1" t="str">
        <f t="shared" si="53"/>
        <v/>
      </c>
      <c r="I654" s="1"/>
      <c r="J654" s="1" t="str">
        <f t="shared" si="54"/>
        <v/>
      </c>
    </row>
    <row r="655" spans="1:10" x14ac:dyDescent="0.2">
      <c r="A655" s="1" t="str">
        <f t="shared" si="50"/>
        <v/>
      </c>
      <c r="B655" s="1"/>
      <c r="C655" s="15" t="str">
        <f t="shared" ca="1" si="51"/>
        <v/>
      </c>
      <c r="D655" s="1" t="str">
        <f>IF(ISBLANK(B655),"",VLOOKUP(B655,formules!E:F,2,0))</f>
        <v/>
      </c>
      <c r="E655" s="1" t="str">
        <f t="shared" si="52"/>
        <v/>
      </c>
      <c r="F655" s="17" t="str">
        <f>IF(ISBLANK(B655),"",VLOOKUP(B655,formules!E:K,7,0))</f>
        <v/>
      </c>
      <c r="G655" s="17" t="str">
        <f>IF(ISBLANK(B655),"",VLOOKUP(B655,formules!E:L,8,0))</f>
        <v/>
      </c>
      <c r="H655" s="1" t="str">
        <f t="shared" si="53"/>
        <v/>
      </c>
      <c r="I655" s="1"/>
      <c r="J655" s="1" t="str">
        <f t="shared" si="54"/>
        <v/>
      </c>
    </row>
    <row r="656" spans="1:10" x14ac:dyDescent="0.2">
      <c r="A656" s="1" t="str">
        <f t="shared" si="50"/>
        <v/>
      </c>
      <c r="B656" s="1"/>
      <c r="C656" s="15" t="str">
        <f t="shared" ca="1" si="51"/>
        <v/>
      </c>
      <c r="D656" s="1" t="str">
        <f>IF(ISBLANK(B656),"",VLOOKUP(B656,formules!E:F,2,0))</f>
        <v/>
      </c>
      <c r="E656" s="1" t="str">
        <f t="shared" si="52"/>
        <v/>
      </c>
      <c r="F656" s="17" t="str">
        <f>IF(ISBLANK(B656),"",VLOOKUP(B656,formules!E:K,7,0))</f>
        <v/>
      </c>
      <c r="G656" s="17" t="str">
        <f>IF(ISBLANK(B656),"",VLOOKUP(B656,formules!E:L,8,0))</f>
        <v/>
      </c>
      <c r="H656" s="1" t="str">
        <f t="shared" si="53"/>
        <v/>
      </c>
      <c r="I656" s="1"/>
      <c r="J656" s="1" t="str">
        <f t="shared" si="54"/>
        <v/>
      </c>
    </row>
    <row r="657" spans="1:10" x14ac:dyDescent="0.2">
      <c r="A657" s="1" t="str">
        <f t="shared" si="50"/>
        <v/>
      </c>
      <c r="B657" s="1"/>
      <c r="C657" s="15" t="str">
        <f t="shared" ca="1" si="51"/>
        <v/>
      </c>
      <c r="D657" s="1" t="str">
        <f>IF(ISBLANK(B657),"",VLOOKUP(B657,formules!E:F,2,0))</f>
        <v/>
      </c>
      <c r="E657" s="1" t="str">
        <f t="shared" si="52"/>
        <v/>
      </c>
      <c r="F657" s="17" t="str">
        <f>IF(ISBLANK(B657),"",VLOOKUP(B657,formules!E:K,7,0))</f>
        <v/>
      </c>
      <c r="G657" s="17" t="str">
        <f>IF(ISBLANK(B657),"",VLOOKUP(B657,formules!E:L,8,0))</f>
        <v/>
      </c>
      <c r="H657" s="1" t="str">
        <f t="shared" si="53"/>
        <v/>
      </c>
      <c r="I657" s="1"/>
      <c r="J657" s="1" t="str">
        <f t="shared" si="54"/>
        <v/>
      </c>
    </row>
    <row r="658" spans="1:10" x14ac:dyDescent="0.2">
      <c r="A658" s="1" t="str">
        <f t="shared" si="50"/>
        <v/>
      </c>
      <c r="B658" s="1"/>
      <c r="C658" s="15" t="str">
        <f t="shared" ca="1" si="51"/>
        <v/>
      </c>
      <c r="D658" s="1" t="str">
        <f>IF(ISBLANK(B658),"",VLOOKUP(B658,formules!E:F,2,0))</f>
        <v/>
      </c>
      <c r="E658" s="1" t="str">
        <f t="shared" si="52"/>
        <v/>
      </c>
      <c r="F658" s="17" t="str">
        <f>IF(ISBLANK(B658),"",VLOOKUP(B658,formules!E:K,7,0))</f>
        <v/>
      </c>
      <c r="G658" s="17" t="str">
        <f>IF(ISBLANK(B658),"",VLOOKUP(B658,formules!E:L,8,0))</f>
        <v/>
      </c>
      <c r="H658" s="1" t="str">
        <f t="shared" si="53"/>
        <v/>
      </c>
      <c r="I658" s="1"/>
      <c r="J658" s="1" t="str">
        <f t="shared" si="54"/>
        <v/>
      </c>
    </row>
    <row r="659" spans="1:10" x14ac:dyDescent="0.2">
      <c r="A659" s="1" t="str">
        <f t="shared" si="50"/>
        <v/>
      </c>
      <c r="B659" s="1"/>
      <c r="C659" s="15" t="str">
        <f t="shared" ca="1" si="51"/>
        <v/>
      </c>
      <c r="D659" s="1" t="str">
        <f>IF(ISBLANK(B659),"",VLOOKUP(B659,formules!E:F,2,0))</f>
        <v/>
      </c>
      <c r="E659" s="1" t="str">
        <f t="shared" si="52"/>
        <v/>
      </c>
      <c r="F659" s="17" t="str">
        <f>IF(ISBLANK(B659),"",VLOOKUP(B659,formules!E:K,7,0))</f>
        <v/>
      </c>
      <c r="G659" s="17" t="str">
        <f>IF(ISBLANK(B659),"",VLOOKUP(B659,formules!E:L,8,0))</f>
        <v/>
      </c>
      <c r="H659" s="1" t="str">
        <f t="shared" si="53"/>
        <v/>
      </c>
      <c r="I659" s="1"/>
      <c r="J659" s="1" t="str">
        <f t="shared" si="54"/>
        <v/>
      </c>
    </row>
    <row r="660" spans="1:10" x14ac:dyDescent="0.2">
      <c r="A660" s="1" t="str">
        <f t="shared" si="50"/>
        <v/>
      </c>
      <c r="B660" s="1"/>
      <c r="C660" s="15" t="str">
        <f t="shared" ca="1" si="51"/>
        <v/>
      </c>
      <c r="D660" s="1" t="str">
        <f>IF(ISBLANK(B660),"",VLOOKUP(B660,formules!E:F,2,0))</f>
        <v/>
      </c>
      <c r="E660" s="1" t="str">
        <f t="shared" si="52"/>
        <v/>
      </c>
      <c r="F660" s="17" t="str">
        <f>IF(ISBLANK(B660),"",VLOOKUP(B660,formules!E:K,7,0))</f>
        <v/>
      </c>
      <c r="G660" s="17" t="str">
        <f>IF(ISBLANK(B660),"",VLOOKUP(B660,formules!E:L,8,0))</f>
        <v/>
      </c>
      <c r="H660" s="1" t="str">
        <f t="shared" si="53"/>
        <v/>
      </c>
      <c r="I660" s="1"/>
      <c r="J660" s="1" t="str">
        <f t="shared" si="54"/>
        <v/>
      </c>
    </row>
    <row r="661" spans="1:10" x14ac:dyDescent="0.2">
      <c r="A661" s="1" t="str">
        <f t="shared" si="50"/>
        <v/>
      </c>
      <c r="B661" s="1"/>
      <c r="C661" s="15" t="str">
        <f t="shared" ca="1" si="51"/>
        <v/>
      </c>
      <c r="D661" s="1" t="str">
        <f>IF(ISBLANK(B661),"",VLOOKUP(B661,formules!E:F,2,0))</f>
        <v/>
      </c>
      <c r="E661" s="1" t="str">
        <f t="shared" si="52"/>
        <v/>
      </c>
      <c r="F661" s="17" t="str">
        <f>IF(ISBLANK(B661),"",VLOOKUP(B661,formules!E:K,7,0))</f>
        <v/>
      </c>
      <c r="G661" s="17" t="str">
        <f>IF(ISBLANK(B661),"",VLOOKUP(B661,formules!E:L,8,0))</f>
        <v/>
      </c>
      <c r="H661" s="1" t="str">
        <f t="shared" si="53"/>
        <v/>
      </c>
      <c r="I661" s="1"/>
      <c r="J661" s="1" t="str">
        <f t="shared" si="54"/>
        <v/>
      </c>
    </row>
    <row r="662" spans="1:10" x14ac:dyDescent="0.2">
      <c r="A662" s="1" t="str">
        <f t="shared" si="50"/>
        <v/>
      </c>
      <c r="B662" s="1"/>
      <c r="C662" s="15" t="str">
        <f t="shared" ca="1" si="51"/>
        <v/>
      </c>
      <c r="D662" s="1" t="str">
        <f>IF(ISBLANK(B662),"",VLOOKUP(B662,formules!E:F,2,0))</f>
        <v/>
      </c>
      <c r="E662" s="1" t="str">
        <f t="shared" si="52"/>
        <v/>
      </c>
      <c r="F662" s="17" t="str">
        <f>IF(ISBLANK(B662),"",VLOOKUP(B662,formules!E:K,7,0))</f>
        <v/>
      </c>
      <c r="G662" s="17" t="str">
        <f>IF(ISBLANK(B662),"",VLOOKUP(B662,formules!E:L,8,0))</f>
        <v/>
      </c>
      <c r="H662" s="1" t="str">
        <f t="shared" si="53"/>
        <v/>
      </c>
      <c r="I662" s="1"/>
      <c r="J662" s="1" t="str">
        <f t="shared" si="54"/>
        <v/>
      </c>
    </row>
    <row r="663" spans="1:10" x14ac:dyDescent="0.2">
      <c r="A663" s="1" t="str">
        <f t="shared" si="50"/>
        <v/>
      </c>
      <c r="B663" s="1"/>
      <c r="C663" s="15" t="str">
        <f t="shared" ca="1" si="51"/>
        <v/>
      </c>
      <c r="D663" s="1" t="str">
        <f>IF(ISBLANK(B663),"",VLOOKUP(B663,formules!E:F,2,0))</f>
        <v/>
      </c>
      <c r="E663" s="1" t="str">
        <f t="shared" si="52"/>
        <v/>
      </c>
      <c r="F663" s="17" t="str">
        <f>IF(ISBLANK(B663),"",VLOOKUP(B663,formules!E:K,7,0))</f>
        <v/>
      </c>
      <c r="G663" s="17" t="str">
        <f>IF(ISBLANK(B663),"",VLOOKUP(B663,formules!E:L,8,0))</f>
        <v/>
      </c>
      <c r="H663" s="1" t="str">
        <f t="shared" si="53"/>
        <v/>
      </c>
      <c r="I663" s="1"/>
      <c r="J663" s="1" t="str">
        <f t="shared" si="54"/>
        <v/>
      </c>
    </row>
    <row r="664" spans="1:10" x14ac:dyDescent="0.2">
      <c r="A664" s="1" t="str">
        <f t="shared" si="50"/>
        <v/>
      </c>
      <c r="B664" s="1"/>
      <c r="C664" s="15" t="str">
        <f t="shared" ca="1" si="51"/>
        <v/>
      </c>
      <c r="D664" s="1" t="str">
        <f>IF(ISBLANK(B664),"",VLOOKUP(B664,formules!E:F,2,0))</f>
        <v/>
      </c>
      <c r="E664" s="1" t="str">
        <f t="shared" si="52"/>
        <v/>
      </c>
      <c r="F664" s="17" t="str">
        <f>IF(ISBLANK(B664),"",VLOOKUP(B664,formules!E:K,7,0))</f>
        <v/>
      </c>
      <c r="G664" s="17" t="str">
        <f>IF(ISBLANK(B664),"",VLOOKUP(B664,formules!E:L,8,0))</f>
        <v/>
      </c>
      <c r="H664" s="1" t="str">
        <f t="shared" si="53"/>
        <v/>
      </c>
      <c r="I664" s="1"/>
      <c r="J664" s="1" t="str">
        <f t="shared" si="54"/>
        <v/>
      </c>
    </row>
    <row r="665" spans="1:10" x14ac:dyDescent="0.2">
      <c r="A665" s="1" t="str">
        <f t="shared" si="50"/>
        <v/>
      </c>
      <c r="B665" s="1"/>
      <c r="C665" s="15" t="str">
        <f t="shared" ca="1" si="51"/>
        <v/>
      </c>
      <c r="D665" s="1" t="str">
        <f>IF(ISBLANK(B665),"",VLOOKUP(B665,formules!E:F,2,0))</f>
        <v/>
      </c>
      <c r="E665" s="1" t="str">
        <f t="shared" si="52"/>
        <v/>
      </c>
      <c r="F665" s="17" t="str">
        <f>IF(ISBLANK(B665),"",VLOOKUP(B665,formules!E:K,7,0))</f>
        <v/>
      </c>
      <c r="G665" s="17" t="str">
        <f>IF(ISBLANK(B665),"",VLOOKUP(B665,formules!E:L,8,0))</f>
        <v/>
      </c>
      <c r="H665" s="1" t="str">
        <f t="shared" si="53"/>
        <v/>
      </c>
      <c r="I665" s="1"/>
      <c r="J665" s="1" t="str">
        <f t="shared" si="54"/>
        <v/>
      </c>
    </row>
    <row r="666" spans="1:10" x14ac:dyDescent="0.2">
      <c r="A666" s="1" t="str">
        <f t="shared" si="50"/>
        <v/>
      </c>
      <c r="B666" s="1"/>
      <c r="C666" s="15" t="str">
        <f t="shared" ca="1" si="51"/>
        <v/>
      </c>
      <c r="D666" s="1" t="str">
        <f>IF(ISBLANK(B666),"",VLOOKUP(B666,formules!E:F,2,0))</f>
        <v/>
      </c>
      <c r="E666" s="1" t="str">
        <f t="shared" si="52"/>
        <v/>
      </c>
      <c r="F666" s="17" t="str">
        <f>IF(ISBLANK(B666),"",VLOOKUP(B666,formules!E:K,7,0))</f>
        <v/>
      </c>
      <c r="G666" s="17" t="str">
        <f>IF(ISBLANK(B666),"",VLOOKUP(B666,formules!E:L,8,0))</f>
        <v/>
      </c>
      <c r="H666" s="1" t="str">
        <f t="shared" si="53"/>
        <v/>
      </c>
      <c r="I666" s="1"/>
      <c r="J666" s="1" t="str">
        <f t="shared" si="54"/>
        <v/>
      </c>
    </row>
    <row r="667" spans="1:10" x14ac:dyDescent="0.2">
      <c r="A667" s="1" t="str">
        <f t="shared" si="50"/>
        <v/>
      </c>
      <c r="B667" s="1"/>
      <c r="C667" s="15" t="str">
        <f t="shared" ca="1" si="51"/>
        <v/>
      </c>
      <c r="D667" s="1" t="str">
        <f>IF(ISBLANK(B667),"",VLOOKUP(B667,formules!E:F,2,0))</f>
        <v/>
      </c>
      <c r="E667" s="1" t="str">
        <f t="shared" si="52"/>
        <v/>
      </c>
      <c r="F667" s="17" t="str">
        <f>IF(ISBLANK(B667),"",VLOOKUP(B667,formules!E:K,7,0))</f>
        <v/>
      </c>
      <c r="G667" s="17" t="str">
        <f>IF(ISBLANK(B667),"",VLOOKUP(B667,formules!E:L,8,0))</f>
        <v/>
      </c>
      <c r="H667" s="1" t="str">
        <f t="shared" si="53"/>
        <v/>
      </c>
      <c r="I667" s="1"/>
      <c r="J667" s="1" t="str">
        <f t="shared" si="54"/>
        <v/>
      </c>
    </row>
    <row r="668" spans="1:10" x14ac:dyDescent="0.2">
      <c r="A668" s="1" t="str">
        <f t="shared" si="50"/>
        <v/>
      </c>
      <c r="B668" s="1"/>
      <c r="C668" s="15" t="str">
        <f t="shared" ca="1" si="51"/>
        <v/>
      </c>
      <c r="D668" s="1" t="str">
        <f>IF(ISBLANK(B668),"",VLOOKUP(B668,formules!E:F,2,0))</f>
        <v/>
      </c>
      <c r="E668" s="1" t="str">
        <f t="shared" si="52"/>
        <v/>
      </c>
      <c r="F668" s="17" t="str">
        <f>IF(ISBLANK(B668),"",VLOOKUP(B668,formules!E:K,7,0))</f>
        <v/>
      </c>
      <c r="G668" s="17" t="str">
        <f>IF(ISBLANK(B668),"",VLOOKUP(B668,formules!E:L,8,0))</f>
        <v/>
      </c>
      <c r="H668" s="1" t="str">
        <f t="shared" si="53"/>
        <v/>
      </c>
      <c r="I668" s="1"/>
      <c r="J668" s="1" t="str">
        <f t="shared" si="54"/>
        <v/>
      </c>
    </row>
    <row r="669" spans="1:10" x14ac:dyDescent="0.2">
      <c r="A669" s="1" t="str">
        <f t="shared" si="50"/>
        <v/>
      </c>
      <c r="B669" s="1"/>
      <c r="C669" s="15" t="str">
        <f t="shared" ca="1" si="51"/>
        <v/>
      </c>
      <c r="D669" s="1" t="str">
        <f>IF(ISBLANK(B669),"",VLOOKUP(B669,formules!E:F,2,0))</f>
        <v/>
      </c>
      <c r="E669" s="1" t="str">
        <f t="shared" si="52"/>
        <v/>
      </c>
      <c r="F669" s="17" t="str">
        <f>IF(ISBLANK(B669),"",VLOOKUP(B669,formules!E:K,7,0))</f>
        <v/>
      </c>
      <c r="G669" s="17" t="str">
        <f>IF(ISBLANK(B669),"",VLOOKUP(B669,formules!E:L,8,0))</f>
        <v/>
      </c>
      <c r="H669" s="1" t="str">
        <f t="shared" si="53"/>
        <v/>
      </c>
      <c r="I669" s="1"/>
      <c r="J669" s="1" t="str">
        <f t="shared" si="54"/>
        <v/>
      </c>
    </row>
    <row r="670" spans="1:10" x14ac:dyDescent="0.2">
      <c r="A670" s="1" t="str">
        <f t="shared" si="50"/>
        <v/>
      </c>
      <c r="B670" s="1"/>
      <c r="C670" s="15" t="str">
        <f t="shared" ca="1" si="51"/>
        <v/>
      </c>
      <c r="D670" s="1" t="str">
        <f>IF(ISBLANK(B670),"",VLOOKUP(B670,formules!E:F,2,0))</f>
        <v/>
      </c>
      <c r="E670" s="1" t="str">
        <f t="shared" si="52"/>
        <v/>
      </c>
      <c r="F670" s="17" t="str">
        <f>IF(ISBLANK(B670),"",VLOOKUP(B670,formules!E:K,7,0))</f>
        <v/>
      </c>
      <c r="G670" s="17" t="str">
        <f>IF(ISBLANK(B670),"",VLOOKUP(B670,formules!E:L,8,0))</f>
        <v/>
      </c>
      <c r="H670" s="1" t="str">
        <f t="shared" si="53"/>
        <v/>
      </c>
      <c r="I670" s="1"/>
      <c r="J670" s="1" t="str">
        <f t="shared" si="54"/>
        <v/>
      </c>
    </row>
    <row r="671" spans="1:10" x14ac:dyDescent="0.2">
      <c r="A671" s="1" t="str">
        <f t="shared" si="50"/>
        <v/>
      </c>
      <c r="B671" s="1"/>
      <c r="C671" s="15" t="str">
        <f t="shared" ca="1" si="51"/>
        <v/>
      </c>
      <c r="D671" s="1" t="str">
        <f>IF(ISBLANK(B671),"",VLOOKUP(B671,formules!E:F,2,0))</f>
        <v/>
      </c>
      <c r="E671" s="1" t="str">
        <f t="shared" si="52"/>
        <v/>
      </c>
      <c r="F671" s="17" t="str">
        <f>IF(ISBLANK(B671),"",VLOOKUP(B671,formules!E:K,7,0))</f>
        <v/>
      </c>
      <c r="G671" s="17" t="str">
        <f>IF(ISBLANK(B671),"",VLOOKUP(B671,formules!E:L,8,0))</f>
        <v/>
      </c>
      <c r="H671" s="1" t="str">
        <f t="shared" si="53"/>
        <v/>
      </c>
      <c r="I671" s="1"/>
      <c r="J671" s="1" t="str">
        <f t="shared" si="54"/>
        <v/>
      </c>
    </row>
    <row r="672" spans="1:10" x14ac:dyDescent="0.2">
      <c r="A672" s="1" t="str">
        <f t="shared" si="50"/>
        <v/>
      </c>
      <c r="B672" s="1"/>
      <c r="C672" s="15" t="str">
        <f t="shared" ca="1" si="51"/>
        <v/>
      </c>
      <c r="D672" s="1" t="str">
        <f>IF(ISBLANK(B672),"",VLOOKUP(B672,formules!E:F,2,0))</f>
        <v/>
      </c>
      <c r="E672" s="1" t="str">
        <f t="shared" si="52"/>
        <v/>
      </c>
      <c r="F672" s="17" t="str">
        <f>IF(ISBLANK(B672),"",VLOOKUP(B672,formules!E:K,7,0))</f>
        <v/>
      </c>
      <c r="G672" s="17" t="str">
        <f>IF(ISBLANK(B672),"",VLOOKUP(B672,formules!E:L,8,0))</f>
        <v/>
      </c>
      <c r="H672" s="1" t="str">
        <f t="shared" si="53"/>
        <v/>
      </c>
      <c r="I672" s="1"/>
      <c r="J672" s="1" t="str">
        <f t="shared" si="54"/>
        <v/>
      </c>
    </row>
    <row r="673" spans="1:10" x14ac:dyDescent="0.2">
      <c r="A673" s="1" t="str">
        <f t="shared" si="50"/>
        <v/>
      </c>
      <c r="B673" s="1"/>
      <c r="C673" s="15" t="str">
        <f t="shared" ca="1" si="51"/>
        <v/>
      </c>
      <c r="D673" s="1" t="str">
        <f>IF(ISBLANK(B673),"",VLOOKUP(B673,formules!E:F,2,0))</f>
        <v/>
      </c>
      <c r="E673" s="1" t="str">
        <f t="shared" si="52"/>
        <v/>
      </c>
      <c r="F673" s="17" t="str">
        <f>IF(ISBLANK(B673),"",VLOOKUP(B673,formules!E:K,7,0))</f>
        <v/>
      </c>
      <c r="G673" s="17" t="str">
        <f>IF(ISBLANK(B673),"",VLOOKUP(B673,formules!E:L,8,0))</f>
        <v/>
      </c>
      <c r="H673" s="1" t="str">
        <f t="shared" si="53"/>
        <v/>
      </c>
      <c r="I673" s="1"/>
      <c r="J673" s="1" t="str">
        <f t="shared" si="54"/>
        <v/>
      </c>
    </row>
    <row r="674" spans="1:10" x14ac:dyDescent="0.2">
      <c r="A674" s="1" t="str">
        <f t="shared" si="50"/>
        <v/>
      </c>
      <c r="B674" s="1"/>
      <c r="C674" s="15" t="str">
        <f t="shared" ca="1" si="51"/>
        <v/>
      </c>
      <c r="D674" s="1" t="str">
        <f>IF(ISBLANK(B674),"",VLOOKUP(B674,formules!E:F,2,0))</f>
        <v/>
      </c>
      <c r="E674" s="1" t="str">
        <f t="shared" si="52"/>
        <v/>
      </c>
      <c r="F674" s="17" t="str">
        <f>IF(ISBLANK(B674),"",VLOOKUP(B674,formules!E:K,7,0))</f>
        <v/>
      </c>
      <c r="G674" s="17" t="str">
        <f>IF(ISBLANK(B674),"",VLOOKUP(B674,formules!E:L,8,0))</f>
        <v/>
      </c>
      <c r="H674" s="1" t="str">
        <f t="shared" si="53"/>
        <v/>
      </c>
      <c r="I674" s="1"/>
      <c r="J674" s="1" t="str">
        <f t="shared" si="54"/>
        <v/>
      </c>
    </row>
    <row r="675" spans="1:10" x14ac:dyDescent="0.2">
      <c r="A675" s="1" t="str">
        <f t="shared" si="50"/>
        <v/>
      </c>
      <c r="B675" s="1"/>
      <c r="C675" s="15" t="str">
        <f t="shared" ca="1" si="51"/>
        <v/>
      </c>
      <c r="D675" s="1" t="str">
        <f>IF(ISBLANK(B675),"",VLOOKUP(B675,formules!E:F,2,0))</f>
        <v/>
      </c>
      <c r="E675" s="1" t="str">
        <f t="shared" si="52"/>
        <v/>
      </c>
      <c r="F675" s="17" t="str">
        <f>IF(ISBLANK(B675),"",VLOOKUP(B675,formules!E:K,7,0))</f>
        <v/>
      </c>
      <c r="G675" s="17" t="str">
        <f>IF(ISBLANK(B675),"",VLOOKUP(B675,formules!E:L,8,0))</f>
        <v/>
      </c>
      <c r="H675" s="1" t="str">
        <f t="shared" si="53"/>
        <v/>
      </c>
      <c r="I675" s="1"/>
      <c r="J675" s="1" t="str">
        <f t="shared" si="54"/>
        <v/>
      </c>
    </row>
    <row r="676" spans="1:10" x14ac:dyDescent="0.2">
      <c r="A676" s="1" t="str">
        <f t="shared" si="50"/>
        <v/>
      </c>
      <c r="B676" s="1"/>
      <c r="C676" s="15" t="str">
        <f t="shared" ca="1" si="51"/>
        <v/>
      </c>
      <c r="D676" s="1" t="str">
        <f>IF(ISBLANK(B676),"",VLOOKUP(B676,formules!E:F,2,0))</f>
        <v/>
      </c>
      <c r="E676" s="1" t="str">
        <f t="shared" si="52"/>
        <v/>
      </c>
      <c r="F676" s="17" t="str">
        <f>IF(ISBLANK(B676),"",VLOOKUP(B676,formules!E:K,7,0))</f>
        <v/>
      </c>
      <c r="G676" s="17" t="str">
        <f>IF(ISBLANK(B676),"",VLOOKUP(B676,formules!E:L,8,0))</f>
        <v/>
      </c>
      <c r="H676" s="1" t="str">
        <f t="shared" si="53"/>
        <v/>
      </c>
      <c r="I676" s="1"/>
      <c r="J676" s="1" t="str">
        <f t="shared" si="54"/>
        <v/>
      </c>
    </row>
    <row r="677" spans="1:10" x14ac:dyDescent="0.2">
      <c r="A677" s="1" t="str">
        <f t="shared" si="50"/>
        <v/>
      </c>
      <c r="B677" s="1"/>
      <c r="C677" s="15" t="str">
        <f t="shared" ca="1" si="51"/>
        <v/>
      </c>
      <c r="D677" s="1" t="str">
        <f>IF(ISBLANK(B677),"",VLOOKUP(B677,formules!E:F,2,0))</f>
        <v/>
      </c>
      <c r="E677" s="1" t="str">
        <f t="shared" si="52"/>
        <v/>
      </c>
      <c r="F677" s="17" t="str">
        <f>IF(ISBLANK(B677),"",VLOOKUP(B677,formules!E:K,7,0))</f>
        <v/>
      </c>
      <c r="G677" s="17" t="str">
        <f>IF(ISBLANK(B677),"",VLOOKUP(B677,formules!E:L,8,0))</f>
        <v/>
      </c>
      <c r="H677" s="1" t="str">
        <f t="shared" si="53"/>
        <v/>
      </c>
      <c r="I677" s="1"/>
      <c r="J677" s="1" t="str">
        <f t="shared" si="54"/>
        <v/>
      </c>
    </row>
    <row r="678" spans="1:10" x14ac:dyDescent="0.2">
      <c r="A678" s="1" t="str">
        <f t="shared" si="50"/>
        <v/>
      </c>
      <c r="B678" s="1"/>
      <c r="C678" s="15" t="str">
        <f t="shared" ca="1" si="51"/>
        <v/>
      </c>
      <c r="D678" s="1" t="str">
        <f>IF(ISBLANK(B678),"",VLOOKUP(B678,formules!E:F,2,0))</f>
        <v/>
      </c>
      <c r="E678" s="1" t="str">
        <f t="shared" si="52"/>
        <v/>
      </c>
      <c r="F678" s="17" t="str">
        <f>IF(ISBLANK(B678),"",VLOOKUP(B678,formules!E:K,7,0))</f>
        <v/>
      </c>
      <c r="G678" s="17" t="str">
        <f>IF(ISBLANK(B678),"",VLOOKUP(B678,formules!E:L,8,0))</f>
        <v/>
      </c>
      <c r="H678" s="1" t="str">
        <f t="shared" si="53"/>
        <v/>
      </c>
      <c r="I678" s="1"/>
      <c r="J678" s="1" t="str">
        <f t="shared" si="54"/>
        <v/>
      </c>
    </row>
    <row r="679" spans="1:10" x14ac:dyDescent="0.2">
      <c r="A679" s="1" t="str">
        <f t="shared" si="50"/>
        <v/>
      </c>
      <c r="B679" s="1"/>
      <c r="C679" s="15" t="str">
        <f t="shared" ca="1" si="51"/>
        <v/>
      </c>
      <c r="D679" s="1" t="str">
        <f>IF(ISBLANK(B679),"",VLOOKUP(B679,formules!E:F,2,0))</f>
        <v/>
      </c>
      <c r="E679" s="1" t="str">
        <f t="shared" si="52"/>
        <v/>
      </c>
      <c r="F679" s="17" t="str">
        <f>IF(ISBLANK(B679),"",VLOOKUP(B679,formules!E:K,7,0))</f>
        <v/>
      </c>
      <c r="G679" s="17" t="str">
        <f>IF(ISBLANK(B679),"",VLOOKUP(B679,formules!E:L,8,0))</f>
        <v/>
      </c>
      <c r="H679" s="1" t="str">
        <f t="shared" si="53"/>
        <v/>
      </c>
      <c r="I679" s="1"/>
      <c r="J679" s="1" t="str">
        <f t="shared" si="54"/>
        <v/>
      </c>
    </row>
    <row r="680" spans="1:10" x14ac:dyDescent="0.2">
      <c r="A680" s="1" t="str">
        <f t="shared" si="50"/>
        <v/>
      </c>
      <c r="B680" s="1"/>
      <c r="C680" s="15" t="str">
        <f t="shared" ca="1" si="51"/>
        <v/>
      </c>
      <c r="D680" s="1" t="str">
        <f>IF(ISBLANK(B680),"",VLOOKUP(B680,formules!E:F,2,0))</f>
        <v/>
      </c>
      <c r="E680" s="1" t="str">
        <f t="shared" si="52"/>
        <v/>
      </c>
      <c r="F680" s="17" t="str">
        <f>IF(ISBLANK(B680),"",VLOOKUP(B680,formules!E:K,7,0))</f>
        <v/>
      </c>
      <c r="G680" s="17" t="str">
        <f>IF(ISBLANK(B680),"",VLOOKUP(B680,formules!E:L,8,0))</f>
        <v/>
      </c>
      <c r="H680" s="1" t="str">
        <f t="shared" si="53"/>
        <v/>
      </c>
      <c r="I680" s="1"/>
      <c r="J680" s="1" t="str">
        <f t="shared" si="54"/>
        <v/>
      </c>
    </row>
    <row r="681" spans="1:10" x14ac:dyDescent="0.2">
      <c r="A681" s="1" t="str">
        <f t="shared" si="50"/>
        <v/>
      </c>
      <c r="B681" s="1"/>
      <c r="C681" s="15" t="str">
        <f t="shared" ca="1" si="51"/>
        <v/>
      </c>
      <c r="D681" s="1" t="str">
        <f>IF(ISBLANK(B681),"",VLOOKUP(B681,formules!E:F,2,0))</f>
        <v/>
      </c>
      <c r="E681" s="1" t="str">
        <f t="shared" si="52"/>
        <v/>
      </c>
      <c r="F681" s="17" t="str">
        <f>IF(ISBLANK(B681),"",VLOOKUP(B681,formules!E:K,7,0))</f>
        <v/>
      </c>
      <c r="G681" s="17" t="str">
        <f>IF(ISBLANK(B681),"",VLOOKUP(B681,formules!E:L,8,0))</f>
        <v/>
      </c>
      <c r="H681" s="1" t="str">
        <f t="shared" si="53"/>
        <v/>
      </c>
      <c r="I681" s="1"/>
      <c r="J681" s="1" t="str">
        <f t="shared" si="54"/>
        <v/>
      </c>
    </row>
    <row r="682" spans="1:10" x14ac:dyDescent="0.2">
      <c r="A682" s="1" t="str">
        <f t="shared" si="50"/>
        <v/>
      </c>
      <c r="B682" s="1"/>
      <c r="C682" s="15" t="str">
        <f t="shared" ca="1" si="51"/>
        <v/>
      </c>
      <c r="D682" s="1" t="str">
        <f>IF(ISBLANK(B682),"",VLOOKUP(B682,formules!E:F,2,0))</f>
        <v/>
      </c>
      <c r="E682" s="1" t="str">
        <f t="shared" si="52"/>
        <v/>
      </c>
      <c r="F682" s="17" t="str">
        <f>IF(ISBLANK(B682),"",VLOOKUP(B682,formules!E:K,7,0))</f>
        <v/>
      </c>
      <c r="G682" s="17" t="str">
        <f>IF(ISBLANK(B682),"",VLOOKUP(B682,formules!E:L,8,0))</f>
        <v/>
      </c>
      <c r="H682" s="1" t="str">
        <f t="shared" si="53"/>
        <v/>
      </c>
      <c r="I682" s="1"/>
      <c r="J682" s="1" t="str">
        <f t="shared" si="54"/>
        <v/>
      </c>
    </row>
    <row r="683" spans="1:10" x14ac:dyDescent="0.2">
      <c r="A683" s="1" t="str">
        <f t="shared" si="50"/>
        <v/>
      </c>
      <c r="B683" s="1"/>
      <c r="C683" s="15" t="str">
        <f t="shared" ca="1" si="51"/>
        <v/>
      </c>
      <c r="D683" s="1" t="str">
        <f>IF(ISBLANK(B683),"",VLOOKUP(B683,formules!E:F,2,0))</f>
        <v/>
      </c>
      <c r="E683" s="1" t="str">
        <f t="shared" si="52"/>
        <v/>
      </c>
      <c r="F683" s="17" t="str">
        <f>IF(ISBLANK(B683),"",VLOOKUP(B683,formules!E:K,7,0))</f>
        <v/>
      </c>
      <c r="G683" s="17" t="str">
        <f>IF(ISBLANK(B683),"",VLOOKUP(B683,formules!E:L,8,0))</f>
        <v/>
      </c>
      <c r="H683" s="1" t="str">
        <f t="shared" si="53"/>
        <v/>
      </c>
      <c r="I683" s="1"/>
      <c r="J683" s="1" t="str">
        <f t="shared" si="54"/>
        <v/>
      </c>
    </row>
    <row r="684" spans="1:10" x14ac:dyDescent="0.2">
      <c r="A684" s="1" t="str">
        <f t="shared" si="50"/>
        <v/>
      </c>
      <c r="B684" s="1"/>
      <c r="C684" s="15" t="str">
        <f t="shared" ca="1" si="51"/>
        <v/>
      </c>
      <c r="D684" s="1" t="str">
        <f>IF(ISBLANK(B684),"",VLOOKUP(B684,formules!E:F,2,0))</f>
        <v/>
      </c>
      <c r="E684" s="1" t="str">
        <f t="shared" si="52"/>
        <v/>
      </c>
      <c r="F684" s="17" t="str">
        <f>IF(ISBLANK(B684),"",VLOOKUP(B684,formules!E:K,7,0))</f>
        <v/>
      </c>
      <c r="G684" s="17" t="str">
        <f>IF(ISBLANK(B684),"",VLOOKUP(B684,formules!E:L,8,0))</f>
        <v/>
      </c>
      <c r="H684" s="1" t="str">
        <f t="shared" si="53"/>
        <v/>
      </c>
      <c r="I684" s="1"/>
      <c r="J684" s="1" t="str">
        <f t="shared" si="54"/>
        <v/>
      </c>
    </row>
    <row r="685" spans="1:10" x14ac:dyDescent="0.2">
      <c r="A685" s="1" t="str">
        <f t="shared" si="50"/>
        <v/>
      </c>
      <c r="B685" s="1"/>
      <c r="C685" s="15" t="str">
        <f t="shared" ca="1" si="51"/>
        <v/>
      </c>
      <c r="D685" s="1" t="str">
        <f>IF(ISBLANK(B685),"",VLOOKUP(B685,formules!E:F,2,0))</f>
        <v/>
      </c>
      <c r="E685" s="1" t="str">
        <f t="shared" si="52"/>
        <v/>
      </c>
      <c r="F685" s="17" t="str">
        <f>IF(ISBLANK(B685),"",VLOOKUP(B685,formules!E:K,7,0))</f>
        <v/>
      </c>
      <c r="G685" s="17" t="str">
        <f>IF(ISBLANK(B685),"",VLOOKUP(B685,formules!E:L,8,0))</f>
        <v/>
      </c>
      <c r="H685" s="1" t="str">
        <f t="shared" si="53"/>
        <v/>
      </c>
      <c r="I685" s="1"/>
      <c r="J685" s="1" t="str">
        <f t="shared" si="54"/>
        <v/>
      </c>
    </row>
    <row r="686" spans="1:10" x14ac:dyDescent="0.2">
      <c r="A686" s="1" t="str">
        <f t="shared" si="50"/>
        <v/>
      </c>
      <c r="B686" s="1"/>
      <c r="C686" s="15" t="str">
        <f t="shared" ca="1" si="51"/>
        <v/>
      </c>
      <c r="D686" s="1" t="str">
        <f>IF(ISBLANK(B686),"",VLOOKUP(B686,formules!E:F,2,0))</f>
        <v/>
      </c>
      <c r="E686" s="1" t="str">
        <f t="shared" si="52"/>
        <v/>
      </c>
      <c r="F686" s="17" t="str">
        <f>IF(ISBLANK(B686),"",VLOOKUP(B686,formules!E:K,7,0))</f>
        <v/>
      </c>
      <c r="G686" s="17" t="str">
        <f>IF(ISBLANK(B686),"",VLOOKUP(B686,formules!E:L,8,0))</f>
        <v/>
      </c>
      <c r="H686" s="1" t="str">
        <f t="shared" si="53"/>
        <v/>
      </c>
      <c r="I686" s="1"/>
      <c r="J686" s="1" t="str">
        <f t="shared" si="54"/>
        <v/>
      </c>
    </row>
    <row r="687" spans="1:10" x14ac:dyDescent="0.2">
      <c r="A687" s="1" t="str">
        <f t="shared" si="50"/>
        <v/>
      </c>
      <c r="B687" s="1"/>
      <c r="C687" s="15" t="str">
        <f t="shared" ca="1" si="51"/>
        <v/>
      </c>
      <c r="D687" s="1" t="str">
        <f>IF(ISBLANK(B687),"",VLOOKUP(B687,formules!E:F,2,0))</f>
        <v/>
      </c>
      <c r="E687" s="1" t="str">
        <f t="shared" si="52"/>
        <v/>
      </c>
      <c r="F687" s="17" t="str">
        <f>IF(ISBLANK(B687),"",VLOOKUP(B687,formules!E:K,7,0))</f>
        <v/>
      </c>
      <c r="G687" s="17" t="str">
        <f>IF(ISBLANK(B687),"",VLOOKUP(B687,formules!E:L,8,0))</f>
        <v/>
      </c>
      <c r="H687" s="1" t="str">
        <f t="shared" si="53"/>
        <v/>
      </c>
      <c r="I687" s="1"/>
      <c r="J687" s="1" t="str">
        <f t="shared" si="54"/>
        <v/>
      </c>
    </row>
    <row r="688" spans="1:10" x14ac:dyDescent="0.2">
      <c r="A688" s="1" t="str">
        <f t="shared" si="50"/>
        <v/>
      </c>
      <c r="B688" s="1"/>
      <c r="C688" s="15" t="str">
        <f t="shared" ca="1" si="51"/>
        <v/>
      </c>
      <c r="D688" s="1" t="str">
        <f>IF(ISBLANK(B688),"",VLOOKUP(B688,formules!E:F,2,0))</f>
        <v/>
      </c>
      <c r="E688" s="1" t="str">
        <f t="shared" si="52"/>
        <v/>
      </c>
      <c r="F688" s="17" t="str">
        <f>IF(ISBLANK(B688),"",VLOOKUP(B688,formules!E:K,7,0))</f>
        <v/>
      </c>
      <c r="G688" s="17" t="str">
        <f>IF(ISBLANK(B688),"",VLOOKUP(B688,formules!E:L,8,0))</f>
        <v/>
      </c>
      <c r="H688" s="1" t="str">
        <f t="shared" si="53"/>
        <v/>
      </c>
      <c r="I688" s="1"/>
      <c r="J688" s="1" t="str">
        <f t="shared" si="54"/>
        <v/>
      </c>
    </row>
    <row r="689" spans="1:10" x14ac:dyDescent="0.2">
      <c r="A689" s="1" t="str">
        <f t="shared" si="50"/>
        <v/>
      </c>
      <c r="B689" s="1"/>
      <c r="C689" s="15" t="str">
        <f t="shared" ca="1" si="51"/>
        <v/>
      </c>
      <c r="D689" s="1" t="str">
        <f>IF(ISBLANK(B689),"",VLOOKUP(B689,formules!E:F,2,0))</f>
        <v/>
      </c>
      <c r="E689" s="1" t="str">
        <f t="shared" si="52"/>
        <v/>
      </c>
      <c r="F689" s="17" t="str">
        <f>IF(ISBLANK(B689),"",VLOOKUP(B689,formules!E:K,7,0))</f>
        <v/>
      </c>
      <c r="G689" s="17" t="str">
        <f>IF(ISBLANK(B689),"",VLOOKUP(B689,formules!E:L,8,0))</f>
        <v/>
      </c>
      <c r="H689" s="1" t="str">
        <f t="shared" si="53"/>
        <v/>
      </c>
      <c r="I689" s="1"/>
      <c r="J689" s="1" t="str">
        <f t="shared" si="54"/>
        <v/>
      </c>
    </row>
    <row r="690" spans="1:10" x14ac:dyDescent="0.2">
      <c r="A690" s="1" t="str">
        <f t="shared" si="50"/>
        <v/>
      </c>
      <c r="B690" s="1"/>
      <c r="C690" s="15" t="str">
        <f t="shared" ca="1" si="51"/>
        <v/>
      </c>
      <c r="D690" s="1" t="str">
        <f>IF(ISBLANK(B690),"",VLOOKUP(B690,formules!E:F,2,0))</f>
        <v/>
      </c>
      <c r="E690" s="1" t="str">
        <f t="shared" si="52"/>
        <v/>
      </c>
      <c r="F690" s="17" t="str">
        <f>IF(ISBLANK(B690),"",VLOOKUP(B690,formules!E:K,7,0))</f>
        <v/>
      </c>
      <c r="G690" s="17" t="str">
        <f>IF(ISBLANK(B690),"",VLOOKUP(B690,formules!E:L,8,0))</f>
        <v/>
      </c>
      <c r="H690" s="1" t="str">
        <f t="shared" si="53"/>
        <v/>
      </c>
      <c r="I690" s="1"/>
      <c r="J690" s="1" t="str">
        <f t="shared" si="54"/>
        <v/>
      </c>
    </row>
    <row r="691" spans="1:10" x14ac:dyDescent="0.2">
      <c r="A691" s="1" t="str">
        <f t="shared" si="50"/>
        <v/>
      </c>
      <c r="B691" s="1"/>
      <c r="C691" s="15" t="str">
        <f t="shared" ca="1" si="51"/>
        <v/>
      </c>
      <c r="D691" s="1" t="str">
        <f>IF(ISBLANK(B691),"",VLOOKUP(B691,formules!E:F,2,0))</f>
        <v/>
      </c>
      <c r="E691" s="1" t="str">
        <f t="shared" si="52"/>
        <v/>
      </c>
      <c r="F691" s="17" t="str">
        <f>IF(ISBLANK(B691),"",VLOOKUP(B691,formules!E:K,7,0))</f>
        <v/>
      </c>
      <c r="G691" s="17" t="str">
        <f>IF(ISBLANK(B691),"",VLOOKUP(B691,formules!E:L,8,0))</f>
        <v/>
      </c>
      <c r="H691" s="1" t="str">
        <f t="shared" si="53"/>
        <v/>
      </c>
      <c r="I691" s="1"/>
      <c r="J691" s="1" t="str">
        <f t="shared" si="54"/>
        <v/>
      </c>
    </row>
    <row r="692" spans="1:10" x14ac:dyDescent="0.2">
      <c r="A692" s="1" t="str">
        <f t="shared" si="50"/>
        <v/>
      </c>
      <c r="B692" s="1"/>
      <c r="C692" s="15" t="str">
        <f t="shared" ca="1" si="51"/>
        <v/>
      </c>
      <c r="D692" s="1" t="str">
        <f>IF(ISBLANK(B692),"",VLOOKUP(B692,formules!E:F,2,0))</f>
        <v/>
      </c>
      <c r="E692" s="1" t="str">
        <f t="shared" si="52"/>
        <v/>
      </c>
      <c r="F692" s="17" t="str">
        <f>IF(ISBLANK(B692),"",VLOOKUP(B692,formules!E:K,7,0))</f>
        <v/>
      </c>
      <c r="G692" s="17" t="str">
        <f>IF(ISBLANK(B692),"",VLOOKUP(B692,formules!E:L,8,0))</f>
        <v/>
      </c>
      <c r="H692" s="1" t="str">
        <f t="shared" si="53"/>
        <v/>
      </c>
      <c r="I692" s="1"/>
      <c r="J692" s="1" t="str">
        <f t="shared" si="54"/>
        <v/>
      </c>
    </row>
    <row r="693" spans="1:10" x14ac:dyDescent="0.2">
      <c r="A693" s="1" t="str">
        <f t="shared" si="50"/>
        <v/>
      </c>
      <c r="B693" s="1"/>
      <c r="C693" s="15" t="str">
        <f t="shared" ca="1" si="51"/>
        <v/>
      </c>
      <c r="D693" s="1" t="str">
        <f>IF(ISBLANK(B693),"",VLOOKUP(B693,formules!E:F,2,0))</f>
        <v/>
      </c>
      <c r="E693" s="1" t="str">
        <f t="shared" si="52"/>
        <v/>
      </c>
      <c r="F693" s="17" t="str">
        <f>IF(ISBLANK(B693),"",VLOOKUP(B693,formules!E:K,7,0))</f>
        <v/>
      </c>
      <c r="G693" s="17" t="str">
        <f>IF(ISBLANK(B693),"",VLOOKUP(B693,formules!E:L,8,0))</f>
        <v/>
      </c>
      <c r="H693" s="1" t="str">
        <f t="shared" si="53"/>
        <v/>
      </c>
      <c r="I693" s="1"/>
      <c r="J693" s="1" t="str">
        <f t="shared" si="54"/>
        <v/>
      </c>
    </row>
    <row r="694" spans="1:10" x14ac:dyDescent="0.2">
      <c r="A694" s="1" t="str">
        <f t="shared" si="50"/>
        <v/>
      </c>
      <c r="B694" s="1"/>
      <c r="C694" s="15" t="str">
        <f t="shared" ca="1" si="51"/>
        <v/>
      </c>
      <c r="D694" s="1" t="str">
        <f>IF(ISBLANK(B694),"",VLOOKUP(B694,formules!E:F,2,0))</f>
        <v/>
      </c>
      <c r="E694" s="1" t="str">
        <f t="shared" si="52"/>
        <v/>
      </c>
      <c r="F694" s="17" t="str">
        <f>IF(ISBLANK(B694),"",VLOOKUP(B694,formules!E:K,7,0))</f>
        <v/>
      </c>
      <c r="G694" s="17" t="str">
        <f>IF(ISBLANK(B694),"",VLOOKUP(B694,formules!E:L,8,0))</f>
        <v/>
      </c>
      <c r="H694" s="1" t="str">
        <f t="shared" si="53"/>
        <v/>
      </c>
      <c r="I694" s="1"/>
      <c r="J694" s="1" t="str">
        <f t="shared" si="54"/>
        <v/>
      </c>
    </row>
    <row r="695" spans="1:10" x14ac:dyDescent="0.2">
      <c r="A695" s="1" t="str">
        <f t="shared" si="50"/>
        <v/>
      </c>
      <c r="B695" s="1"/>
      <c r="C695" s="15" t="str">
        <f t="shared" ca="1" si="51"/>
        <v/>
      </c>
      <c r="D695" s="1" t="str">
        <f>IF(ISBLANK(B695),"",VLOOKUP(B695,formules!E:F,2,0))</f>
        <v/>
      </c>
      <c r="E695" s="1" t="str">
        <f t="shared" si="52"/>
        <v/>
      </c>
      <c r="F695" s="17" t="str">
        <f>IF(ISBLANK(B695),"",VLOOKUP(B695,formules!E:K,7,0))</f>
        <v/>
      </c>
      <c r="G695" s="17" t="str">
        <f>IF(ISBLANK(B695),"",VLOOKUP(B695,formules!E:L,8,0))</f>
        <v/>
      </c>
      <c r="H695" s="1" t="str">
        <f t="shared" si="53"/>
        <v/>
      </c>
      <c r="I695" s="1"/>
      <c r="J695" s="1" t="str">
        <f t="shared" si="54"/>
        <v/>
      </c>
    </row>
    <row r="696" spans="1:10" x14ac:dyDescent="0.2">
      <c r="A696" s="1" t="str">
        <f t="shared" si="50"/>
        <v/>
      </c>
      <c r="B696" s="1"/>
      <c r="C696" s="15" t="str">
        <f t="shared" ca="1" si="51"/>
        <v/>
      </c>
      <c r="D696" s="1" t="str">
        <f>IF(ISBLANK(B696),"",VLOOKUP(B696,formules!E:F,2,0))</f>
        <v/>
      </c>
      <c r="E696" s="1" t="str">
        <f t="shared" si="52"/>
        <v/>
      </c>
      <c r="F696" s="17" t="str">
        <f>IF(ISBLANK(B696),"",VLOOKUP(B696,formules!E:K,7,0))</f>
        <v/>
      </c>
      <c r="G696" s="17" t="str">
        <f>IF(ISBLANK(B696),"",VLOOKUP(B696,formules!E:L,8,0))</f>
        <v/>
      </c>
      <c r="H696" s="1" t="str">
        <f t="shared" si="53"/>
        <v/>
      </c>
      <c r="I696" s="1"/>
      <c r="J696" s="1" t="str">
        <f t="shared" si="54"/>
        <v/>
      </c>
    </row>
    <row r="697" spans="1:10" x14ac:dyDescent="0.2">
      <c r="A697" s="1" t="str">
        <f t="shared" si="50"/>
        <v/>
      </c>
      <c r="B697" s="1"/>
      <c r="C697" s="15" t="str">
        <f t="shared" ca="1" si="51"/>
        <v/>
      </c>
      <c r="D697" s="1" t="str">
        <f>IF(ISBLANK(B697),"",VLOOKUP(B697,formules!E:F,2,0))</f>
        <v/>
      </c>
      <c r="E697" s="1" t="str">
        <f t="shared" si="52"/>
        <v/>
      </c>
      <c r="F697" s="17" t="str">
        <f>IF(ISBLANK(B697),"",VLOOKUP(B697,formules!E:K,7,0))</f>
        <v/>
      </c>
      <c r="G697" s="17" t="str">
        <f>IF(ISBLANK(B697),"",VLOOKUP(B697,formules!E:L,8,0))</f>
        <v/>
      </c>
      <c r="H697" s="1" t="str">
        <f t="shared" si="53"/>
        <v/>
      </c>
      <c r="I697" s="1"/>
      <c r="J697" s="1" t="str">
        <f t="shared" si="54"/>
        <v/>
      </c>
    </row>
    <row r="698" spans="1:10" x14ac:dyDescent="0.2">
      <c r="A698" s="1" t="str">
        <f t="shared" si="50"/>
        <v/>
      </c>
      <c r="B698" s="1"/>
      <c r="C698" s="15" t="str">
        <f t="shared" ca="1" si="51"/>
        <v/>
      </c>
      <c r="D698" s="1" t="str">
        <f>IF(ISBLANK(B698),"",VLOOKUP(B698,formules!E:F,2,0))</f>
        <v/>
      </c>
      <c r="E698" s="1" t="str">
        <f t="shared" si="52"/>
        <v/>
      </c>
      <c r="F698" s="17" t="str">
        <f>IF(ISBLANK(B698),"",VLOOKUP(B698,formules!E:K,7,0))</f>
        <v/>
      </c>
      <c r="G698" s="17" t="str">
        <f>IF(ISBLANK(B698),"",VLOOKUP(B698,formules!E:L,8,0))</f>
        <v/>
      </c>
      <c r="H698" s="1" t="str">
        <f t="shared" si="53"/>
        <v/>
      </c>
      <c r="I698" s="1"/>
      <c r="J698" s="1" t="str">
        <f t="shared" si="54"/>
        <v/>
      </c>
    </row>
    <row r="699" spans="1:10" x14ac:dyDescent="0.2">
      <c r="A699" s="1" t="str">
        <f t="shared" si="50"/>
        <v/>
      </c>
      <c r="B699" s="1"/>
      <c r="C699" s="15" t="str">
        <f t="shared" ca="1" si="51"/>
        <v/>
      </c>
      <c r="D699" s="1" t="str">
        <f>IF(ISBLANK(B699),"",VLOOKUP(B699,formules!E:F,2,0))</f>
        <v/>
      </c>
      <c r="E699" s="1" t="str">
        <f t="shared" si="52"/>
        <v/>
      </c>
      <c r="F699" s="17" t="str">
        <f>IF(ISBLANK(B699),"",VLOOKUP(B699,formules!E:K,7,0))</f>
        <v/>
      </c>
      <c r="G699" s="17" t="str">
        <f>IF(ISBLANK(B699),"",VLOOKUP(B699,formules!E:L,8,0))</f>
        <v/>
      </c>
      <c r="H699" s="1" t="str">
        <f t="shared" si="53"/>
        <v/>
      </c>
      <c r="I699" s="1"/>
      <c r="J699" s="1" t="str">
        <f t="shared" si="54"/>
        <v/>
      </c>
    </row>
    <row r="700" spans="1:10" x14ac:dyDescent="0.2">
      <c r="A700" s="1" t="str">
        <f t="shared" si="50"/>
        <v/>
      </c>
      <c r="B700" s="1"/>
      <c r="C700" s="15" t="str">
        <f t="shared" ca="1" si="51"/>
        <v/>
      </c>
      <c r="D700" s="1" t="str">
        <f>IF(ISBLANK(B700),"",VLOOKUP(B700,formules!E:F,2,0))</f>
        <v/>
      </c>
      <c r="E700" s="1" t="str">
        <f t="shared" si="52"/>
        <v/>
      </c>
      <c r="F700" s="17" t="str">
        <f>IF(ISBLANK(B700),"",VLOOKUP(B700,formules!E:K,7,0))</f>
        <v/>
      </c>
      <c r="G700" s="17" t="str">
        <f>IF(ISBLANK(B700),"",VLOOKUP(B700,formules!E:L,8,0))</f>
        <v/>
      </c>
      <c r="H700" s="1" t="str">
        <f t="shared" si="53"/>
        <v/>
      </c>
      <c r="I700" s="1"/>
      <c r="J700" s="1" t="str">
        <f t="shared" si="54"/>
        <v/>
      </c>
    </row>
    <row r="701" spans="1:10" x14ac:dyDescent="0.2">
      <c r="A701" s="1" t="str">
        <f t="shared" si="50"/>
        <v/>
      </c>
      <c r="B701" s="1"/>
      <c r="C701" s="15" t="str">
        <f t="shared" ca="1" si="51"/>
        <v/>
      </c>
      <c r="D701" s="1" t="str">
        <f>IF(ISBLANK(B701),"",VLOOKUP(B701,formules!E:F,2,0))</f>
        <v/>
      </c>
      <c r="E701" s="1" t="str">
        <f t="shared" si="52"/>
        <v/>
      </c>
      <c r="F701" s="17" t="str">
        <f>IF(ISBLANK(B701),"",VLOOKUP(B701,formules!E:K,7,0))</f>
        <v/>
      </c>
      <c r="G701" s="17" t="str">
        <f>IF(ISBLANK(B701),"",VLOOKUP(B701,formules!E:L,8,0))</f>
        <v/>
      </c>
      <c r="H701" s="1" t="str">
        <f t="shared" si="53"/>
        <v/>
      </c>
      <c r="I701" s="1"/>
      <c r="J701" s="1" t="str">
        <f t="shared" si="54"/>
        <v/>
      </c>
    </row>
    <row r="702" spans="1:10" x14ac:dyDescent="0.2">
      <c r="A702" s="1" t="str">
        <f t="shared" si="50"/>
        <v/>
      </c>
      <c r="B702" s="1"/>
      <c r="C702" s="15" t="str">
        <f t="shared" ca="1" si="51"/>
        <v/>
      </c>
      <c r="D702" s="1" t="str">
        <f>IF(ISBLANK(B702),"",VLOOKUP(B702,formules!E:F,2,0))</f>
        <v/>
      </c>
      <c r="E702" s="1" t="str">
        <f t="shared" si="52"/>
        <v/>
      </c>
      <c r="F702" s="17" t="str">
        <f>IF(ISBLANK(B702),"",VLOOKUP(B702,formules!E:K,7,0))</f>
        <v/>
      </c>
      <c r="G702" s="17" t="str">
        <f>IF(ISBLANK(B702),"",VLOOKUP(B702,formules!E:L,8,0))</f>
        <v/>
      </c>
      <c r="H702" s="1" t="str">
        <f t="shared" si="53"/>
        <v/>
      </c>
      <c r="I702" s="1"/>
      <c r="J702" s="1" t="str">
        <f t="shared" si="54"/>
        <v/>
      </c>
    </row>
    <row r="703" spans="1:10" x14ac:dyDescent="0.2">
      <c r="A703" s="1" t="str">
        <f t="shared" si="50"/>
        <v/>
      </c>
      <c r="B703" s="1"/>
      <c r="C703" s="15" t="str">
        <f t="shared" ca="1" si="51"/>
        <v/>
      </c>
      <c r="D703" s="1" t="str">
        <f>IF(ISBLANK(B703),"",VLOOKUP(B703,formules!E:F,2,0))</f>
        <v/>
      </c>
      <c r="E703" s="1" t="str">
        <f t="shared" si="52"/>
        <v/>
      </c>
      <c r="F703" s="17" t="str">
        <f>IF(ISBLANK(B703),"",VLOOKUP(B703,formules!E:K,7,0))</f>
        <v/>
      </c>
      <c r="G703" s="17" t="str">
        <f>IF(ISBLANK(B703),"",VLOOKUP(B703,formules!E:L,8,0))</f>
        <v/>
      </c>
      <c r="H703" s="1" t="str">
        <f t="shared" si="53"/>
        <v/>
      </c>
      <c r="I703" s="1"/>
      <c r="J703" s="1" t="str">
        <f t="shared" si="54"/>
        <v/>
      </c>
    </row>
    <row r="704" spans="1:10" x14ac:dyDescent="0.2">
      <c r="A704" s="1" t="str">
        <f t="shared" si="50"/>
        <v/>
      </c>
      <c r="B704" s="1"/>
      <c r="C704" s="15" t="str">
        <f t="shared" ca="1" si="51"/>
        <v/>
      </c>
      <c r="D704" s="1" t="str">
        <f>IF(ISBLANK(B704),"",VLOOKUP(B704,formules!E:F,2,0))</f>
        <v/>
      </c>
      <c r="E704" s="1" t="str">
        <f t="shared" si="52"/>
        <v/>
      </c>
      <c r="F704" s="17" t="str">
        <f>IF(ISBLANK(B704),"",VLOOKUP(B704,formules!E:K,7,0))</f>
        <v/>
      </c>
      <c r="G704" s="17" t="str">
        <f>IF(ISBLANK(B704),"",VLOOKUP(B704,formules!E:L,8,0))</f>
        <v/>
      </c>
      <c r="H704" s="1" t="str">
        <f t="shared" si="53"/>
        <v/>
      </c>
      <c r="I704" s="1"/>
      <c r="J704" s="1" t="str">
        <f t="shared" si="54"/>
        <v/>
      </c>
    </row>
    <row r="705" spans="1:10" x14ac:dyDescent="0.2">
      <c r="A705" s="1" t="str">
        <f t="shared" si="50"/>
        <v/>
      </c>
      <c r="B705" s="1"/>
      <c r="C705" s="15" t="str">
        <f t="shared" ca="1" si="51"/>
        <v/>
      </c>
      <c r="D705" s="1" t="str">
        <f>IF(ISBLANK(B705),"",VLOOKUP(B705,formules!E:F,2,0))</f>
        <v/>
      </c>
      <c r="E705" s="1" t="str">
        <f t="shared" si="52"/>
        <v/>
      </c>
      <c r="F705" s="17" t="str">
        <f>IF(ISBLANK(B705),"",VLOOKUP(B705,formules!E:K,7,0))</f>
        <v/>
      </c>
      <c r="G705" s="17" t="str">
        <f>IF(ISBLANK(B705),"",VLOOKUP(B705,formules!E:L,8,0))</f>
        <v/>
      </c>
      <c r="H705" s="1" t="str">
        <f t="shared" si="53"/>
        <v/>
      </c>
      <c r="I705" s="1"/>
      <c r="J705" s="1" t="str">
        <f t="shared" si="54"/>
        <v/>
      </c>
    </row>
    <row r="706" spans="1:10" x14ac:dyDescent="0.2">
      <c r="A706" s="1" t="str">
        <f t="shared" si="50"/>
        <v/>
      </c>
      <c r="B706" s="1"/>
      <c r="C706" s="15" t="str">
        <f t="shared" ca="1" si="51"/>
        <v/>
      </c>
      <c r="D706" s="1" t="str">
        <f>IF(ISBLANK(B706),"",VLOOKUP(B706,formules!E:F,2,0))</f>
        <v/>
      </c>
      <c r="E706" s="1" t="str">
        <f t="shared" si="52"/>
        <v/>
      </c>
      <c r="F706" s="17" t="str">
        <f>IF(ISBLANK(B706),"",VLOOKUP(B706,formules!E:K,7,0))</f>
        <v/>
      </c>
      <c r="G706" s="17" t="str">
        <f>IF(ISBLANK(B706),"",VLOOKUP(B706,formules!E:L,8,0))</f>
        <v/>
      </c>
      <c r="H706" s="1" t="str">
        <f t="shared" si="53"/>
        <v/>
      </c>
      <c r="I706" s="1"/>
      <c r="J706" s="1" t="str">
        <f t="shared" si="54"/>
        <v/>
      </c>
    </row>
    <row r="707" spans="1:10" x14ac:dyDescent="0.2">
      <c r="A707" s="1" t="str">
        <f t="shared" ref="A707:A770" si="55">IF(ISBLANK(B707),"","variation")</f>
        <v/>
      </c>
      <c r="B707" s="1"/>
      <c r="C707" s="15" t="str">
        <f t="shared" ref="C707:C770" ca="1" si="56">IF(ISBLANK(B707),"",RANDBETWEEN(1111111111111,9999999999999))</f>
        <v/>
      </c>
      <c r="D707" s="1" t="str">
        <f>IF(ISBLANK(B707),"",VLOOKUP(B707,formules!E:F,2,0))</f>
        <v/>
      </c>
      <c r="E707" s="1" t="str">
        <f t="shared" ref="E707:E770" si="57">IF(ISBLANK(B707),"",1)</f>
        <v/>
      </c>
      <c r="F707" s="17" t="str">
        <f>IF(ISBLANK(B707),"",VLOOKUP(B707,formules!E:K,7,0))</f>
        <v/>
      </c>
      <c r="G707" s="17" t="str">
        <f>IF(ISBLANK(B707),"",VLOOKUP(B707,formules!E:L,8,0))</f>
        <v/>
      </c>
      <c r="H707" s="1" t="str">
        <f t="shared" ref="H707:H770" si="58">IF(ISBLANK(B707),"","Size")</f>
        <v/>
      </c>
      <c r="I707" s="1"/>
      <c r="J707" s="1" t="str">
        <f t="shared" ref="J707:J770" si="59">IF(ISBLANK(B707),"",1)</f>
        <v/>
      </c>
    </row>
    <row r="708" spans="1:10" x14ac:dyDescent="0.2">
      <c r="A708" s="1" t="str">
        <f t="shared" si="55"/>
        <v/>
      </c>
      <c r="B708" s="1"/>
      <c r="C708" s="15" t="str">
        <f t="shared" ca="1" si="56"/>
        <v/>
      </c>
      <c r="D708" s="1" t="str">
        <f>IF(ISBLANK(B708),"",VLOOKUP(B708,formules!E:F,2,0))</f>
        <v/>
      </c>
      <c r="E708" s="1" t="str">
        <f t="shared" si="57"/>
        <v/>
      </c>
      <c r="F708" s="17" t="str">
        <f>IF(ISBLANK(B708),"",VLOOKUP(B708,formules!E:K,7,0))</f>
        <v/>
      </c>
      <c r="G708" s="17" t="str">
        <f>IF(ISBLANK(B708),"",VLOOKUP(B708,formules!E:L,8,0))</f>
        <v/>
      </c>
      <c r="H708" s="1" t="str">
        <f t="shared" si="58"/>
        <v/>
      </c>
      <c r="I708" s="1"/>
      <c r="J708" s="1" t="str">
        <f t="shared" si="59"/>
        <v/>
      </c>
    </row>
    <row r="709" spans="1:10" x14ac:dyDescent="0.2">
      <c r="A709" s="1" t="str">
        <f t="shared" si="55"/>
        <v/>
      </c>
      <c r="B709" s="1"/>
      <c r="C709" s="15" t="str">
        <f t="shared" ca="1" si="56"/>
        <v/>
      </c>
      <c r="D709" s="1" t="str">
        <f>IF(ISBLANK(B709),"",VLOOKUP(B709,formules!E:F,2,0))</f>
        <v/>
      </c>
      <c r="E709" s="1" t="str">
        <f t="shared" si="57"/>
        <v/>
      </c>
      <c r="F709" s="17" t="str">
        <f>IF(ISBLANK(B709),"",VLOOKUP(B709,formules!E:K,7,0))</f>
        <v/>
      </c>
      <c r="G709" s="17" t="str">
        <f>IF(ISBLANK(B709),"",VLOOKUP(B709,formules!E:L,8,0))</f>
        <v/>
      </c>
      <c r="H709" s="1" t="str">
        <f t="shared" si="58"/>
        <v/>
      </c>
      <c r="I709" s="1"/>
      <c r="J709" s="1" t="str">
        <f t="shared" si="59"/>
        <v/>
      </c>
    </row>
    <row r="710" spans="1:10" x14ac:dyDescent="0.2">
      <c r="A710" s="1" t="str">
        <f t="shared" si="55"/>
        <v/>
      </c>
      <c r="B710" s="1"/>
      <c r="C710" s="15" t="str">
        <f t="shared" ca="1" si="56"/>
        <v/>
      </c>
      <c r="D710" s="1" t="str">
        <f>IF(ISBLANK(B710),"",VLOOKUP(B710,formules!E:F,2,0))</f>
        <v/>
      </c>
      <c r="E710" s="1" t="str">
        <f t="shared" si="57"/>
        <v/>
      </c>
      <c r="F710" s="17" t="str">
        <f>IF(ISBLANK(B710),"",VLOOKUP(B710,formules!E:K,7,0))</f>
        <v/>
      </c>
      <c r="G710" s="17" t="str">
        <f>IF(ISBLANK(B710),"",VLOOKUP(B710,formules!E:L,8,0))</f>
        <v/>
      </c>
      <c r="H710" s="1" t="str">
        <f t="shared" si="58"/>
        <v/>
      </c>
      <c r="I710" s="1"/>
      <c r="J710" s="1" t="str">
        <f t="shared" si="59"/>
        <v/>
      </c>
    </row>
    <row r="711" spans="1:10" x14ac:dyDescent="0.2">
      <c r="A711" s="1" t="str">
        <f t="shared" si="55"/>
        <v/>
      </c>
      <c r="B711" s="1"/>
      <c r="C711" s="15" t="str">
        <f t="shared" ca="1" si="56"/>
        <v/>
      </c>
      <c r="D711" s="1" t="str">
        <f>IF(ISBLANK(B711),"",VLOOKUP(B711,formules!E:F,2,0))</f>
        <v/>
      </c>
      <c r="E711" s="1" t="str">
        <f t="shared" si="57"/>
        <v/>
      </c>
      <c r="F711" s="17" t="str">
        <f>IF(ISBLANK(B711),"",VLOOKUP(B711,formules!E:K,7,0))</f>
        <v/>
      </c>
      <c r="G711" s="17" t="str">
        <f>IF(ISBLANK(B711),"",VLOOKUP(B711,formules!E:L,8,0))</f>
        <v/>
      </c>
      <c r="H711" s="1" t="str">
        <f t="shared" si="58"/>
        <v/>
      </c>
      <c r="I711" s="1"/>
      <c r="J711" s="1" t="str">
        <f t="shared" si="59"/>
        <v/>
      </c>
    </row>
    <row r="712" spans="1:10" x14ac:dyDescent="0.2">
      <c r="A712" s="1" t="str">
        <f t="shared" si="55"/>
        <v/>
      </c>
      <c r="B712" s="1"/>
      <c r="C712" s="15" t="str">
        <f t="shared" ca="1" si="56"/>
        <v/>
      </c>
      <c r="D712" s="1" t="str">
        <f>IF(ISBLANK(B712),"",VLOOKUP(B712,formules!E:F,2,0))</f>
        <v/>
      </c>
      <c r="E712" s="1" t="str">
        <f t="shared" si="57"/>
        <v/>
      </c>
      <c r="F712" s="17" t="str">
        <f>IF(ISBLANK(B712),"",VLOOKUP(B712,formules!E:K,7,0))</f>
        <v/>
      </c>
      <c r="G712" s="17" t="str">
        <f>IF(ISBLANK(B712),"",VLOOKUP(B712,formules!E:L,8,0))</f>
        <v/>
      </c>
      <c r="H712" s="1" t="str">
        <f t="shared" si="58"/>
        <v/>
      </c>
      <c r="I712" s="1"/>
      <c r="J712" s="1" t="str">
        <f t="shared" si="59"/>
        <v/>
      </c>
    </row>
    <row r="713" spans="1:10" x14ac:dyDescent="0.2">
      <c r="A713" s="1" t="str">
        <f t="shared" si="55"/>
        <v/>
      </c>
      <c r="B713" s="1"/>
      <c r="C713" s="15" t="str">
        <f t="shared" ca="1" si="56"/>
        <v/>
      </c>
      <c r="D713" s="1" t="str">
        <f>IF(ISBLANK(B713),"",VLOOKUP(B713,formules!E:F,2,0))</f>
        <v/>
      </c>
      <c r="E713" s="1" t="str">
        <f t="shared" si="57"/>
        <v/>
      </c>
      <c r="F713" s="17" t="str">
        <f>IF(ISBLANK(B713),"",VLOOKUP(B713,formules!E:K,7,0))</f>
        <v/>
      </c>
      <c r="G713" s="17" t="str">
        <f>IF(ISBLANK(B713),"",VLOOKUP(B713,formules!E:L,8,0))</f>
        <v/>
      </c>
      <c r="H713" s="1" t="str">
        <f t="shared" si="58"/>
        <v/>
      </c>
      <c r="I713" s="1"/>
      <c r="J713" s="1" t="str">
        <f t="shared" si="59"/>
        <v/>
      </c>
    </row>
    <row r="714" spans="1:10" x14ac:dyDescent="0.2">
      <c r="A714" s="1" t="str">
        <f t="shared" si="55"/>
        <v/>
      </c>
      <c r="B714" s="1"/>
      <c r="C714" s="15" t="str">
        <f t="shared" ca="1" si="56"/>
        <v/>
      </c>
      <c r="D714" s="1" t="str">
        <f>IF(ISBLANK(B714),"",VLOOKUP(B714,formules!E:F,2,0))</f>
        <v/>
      </c>
      <c r="E714" s="1" t="str">
        <f t="shared" si="57"/>
        <v/>
      </c>
      <c r="F714" s="17" t="str">
        <f>IF(ISBLANK(B714),"",VLOOKUP(B714,formules!E:K,7,0))</f>
        <v/>
      </c>
      <c r="G714" s="17" t="str">
        <f>IF(ISBLANK(B714),"",VLOOKUP(B714,formules!E:L,8,0))</f>
        <v/>
      </c>
      <c r="H714" s="1" t="str">
        <f t="shared" si="58"/>
        <v/>
      </c>
      <c r="I714" s="1"/>
      <c r="J714" s="1" t="str">
        <f t="shared" si="59"/>
        <v/>
      </c>
    </row>
    <row r="715" spans="1:10" x14ac:dyDescent="0.2">
      <c r="A715" s="1" t="str">
        <f t="shared" si="55"/>
        <v/>
      </c>
      <c r="B715" s="1"/>
      <c r="C715" s="15" t="str">
        <f t="shared" ca="1" si="56"/>
        <v/>
      </c>
      <c r="D715" s="1" t="str">
        <f>IF(ISBLANK(B715),"",VLOOKUP(B715,formules!E:F,2,0))</f>
        <v/>
      </c>
      <c r="E715" s="1" t="str">
        <f t="shared" si="57"/>
        <v/>
      </c>
      <c r="F715" s="17" t="str">
        <f>IF(ISBLANK(B715),"",VLOOKUP(B715,formules!E:K,7,0))</f>
        <v/>
      </c>
      <c r="G715" s="17" t="str">
        <f>IF(ISBLANK(B715),"",VLOOKUP(B715,formules!E:L,8,0))</f>
        <v/>
      </c>
      <c r="H715" s="1" t="str">
        <f t="shared" si="58"/>
        <v/>
      </c>
      <c r="I715" s="1"/>
      <c r="J715" s="1" t="str">
        <f t="shared" si="59"/>
        <v/>
      </c>
    </row>
    <row r="716" spans="1:10" x14ac:dyDescent="0.2">
      <c r="A716" s="1" t="str">
        <f t="shared" si="55"/>
        <v/>
      </c>
      <c r="B716" s="1"/>
      <c r="C716" s="15" t="str">
        <f t="shared" ca="1" si="56"/>
        <v/>
      </c>
      <c r="D716" s="1" t="str">
        <f>IF(ISBLANK(B716),"",VLOOKUP(B716,formules!E:F,2,0))</f>
        <v/>
      </c>
      <c r="E716" s="1" t="str">
        <f t="shared" si="57"/>
        <v/>
      </c>
      <c r="F716" s="17" t="str">
        <f>IF(ISBLANK(B716),"",VLOOKUP(B716,formules!E:K,7,0))</f>
        <v/>
      </c>
      <c r="G716" s="17" t="str">
        <f>IF(ISBLANK(B716),"",VLOOKUP(B716,formules!E:L,8,0))</f>
        <v/>
      </c>
      <c r="H716" s="1" t="str">
        <f t="shared" si="58"/>
        <v/>
      </c>
      <c r="I716" s="1"/>
      <c r="J716" s="1" t="str">
        <f t="shared" si="59"/>
        <v/>
      </c>
    </row>
    <row r="717" spans="1:10" x14ac:dyDescent="0.2">
      <c r="A717" s="1" t="str">
        <f t="shared" si="55"/>
        <v/>
      </c>
      <c r="B717" s="1"/>
      <c r="C717" s="15" t="str">
        <f t="shared" ca="1" si="56"/>
        <v/>
      </c>
      <c r="D717" s="1" t="str">
        <f>IF(ISBLANK(B717),"",VLOOKUP(B717,formules!E:F,2,0))</f>
        <v/>
      </c>
      <c r="E717" s="1" t="str">
        <f t="shared" si="57"/>
        <v/>
      </c>
      <c r="F717" s="17" t="str">
        <f>IF(ISBLANK(B717),"",VLOOKUP(B717,formules!E:K,7,0))</f>
        <v/>
      </c>
      <c r="G717" s="17" t="str">
        <f>IF(ISBLANK(B717),"",VLOOKUP(B717,formules!E:L,8,0))</f>
        <v/>
      </c>
      <c r="H717" s="1" t="str">
        <f t="shared" si="58"/>
        <v/>
      </c>
      <c r="I717" s="1"/>
      <c r="J717" s="1" t="str">
        <f t="shared" si="59"/>
        <v/>
      </c>
    </row>
    <row r="718" spans="1:10" x14ac:dyDescent="0.2">
      <c r="A718" s="1" t="str">
        <f t="shared" si="55"/>
        <v/>
      </c>
      <c r="B718" s="1"/>
      <c r="C718" s="15" t="str">
        <f t="shared" ca="1" si="56"/>
        <v/>
      </c>
      <c r="D718" s="1" t="str">
        <f>IF(ISBLANK(B718),"",VLOOKUP(B718,formules!E:F,2,0))</f>
        <v/>
      </c>
      <c r="E718" s="1" t="str">
        <f t="shared" si="57"/>
        <v/>
      </c>
      <c r="F718" s="17" t="str">
        <f>IF(ISBLANK(B718),"",VLOOKUP(B718,formules!E:K,7,0))</f>
        <v/>
      </c>
      <c r="G718" s="17" t="str">
        <f>IF(ISBLANK(B718),"",VLOOKUP(B718,formules!E:L,8,0))</f>
        <v/>
      </c>
      <c r="H718" s="1" t="str">
        <f t="shared" si="58"/>
        <v/>
      </c>
      <c r="I718" s="1"/>
      <c r="J718" s="1" t="str">
        <f t="shared" si="59"/>
        <v/>
      </c>
    </row>
    <row r="719" spans="1:10" x14ac:dyDescent="0.2">
      <c r="A719" s="1" t="str">
        <f t="shared" si="55"/>
        <v/>
      </c>
      <c r="B719" s="1"/>
      <c r="C719" s="15" t="str">
        <f t="shared" ca="1" si="56"/>
        <v/>
      </c>
      <c r="D719" s="1" t="str">
        <f>IF(ISBLANK(B719),"",VLOOKUP(B719,formules!E:F,2,0))</f>
        <v/>
      </c>
      <c r="E719" s="1" t="str">
        <f t="shared" si="57"/>
        <v/>
      </c>
      <c r="F719" s="17" t="str">
        <f>IF(ISBLANK(B719),"",VLOOKUP(B719,formules!E:K,7,0))</f>
        <v/>
      </c>
      <c r="G719" s="17" t="str">
        <f>IF(ISBLANK(B719),"",VLOOKUP(B719,formules!E:L,8,0))</f>
        <v/>
      </c>
      <c r="H719" s="1" t="str">
        <f t="shared" si="58"/>
        <v/>
      </c>
      <c r="I719" s="1"/>
      <c r="J719" s="1" t="str">
        <f t="shared" si="59"/>
        <v/>
      </c>
    </row>
    <row r="720" spans="1:10" x14ac:dyDescent="0.2">
      <c r="A720" s="1" t="str">
        <f t="shared" si="55"/>
        <v/>
      </c>
      <c r="B720" s="1"/>
      <c r="C720" s="15" t="str">
        <f t="shared" ca="1" si="56"/>
        <v/>
      </c>
      <c r="D720" s="1" t="str">
        <f>IF(ISBLANK(B720),"",VLOOKUP(B720,formules!E:F,2,0))</f>
        <v/>
      </c>
      <c r="E720" s="1" t="str">
        <f t="shared" si="57"/>
        <v/>
      </c>
      <c r="F720" s="17" t="str">
        <f>IF(ISBLANK(B720),"",VLOOKUP(B720,formules!E:K,7,0))</f>
        <v/>
      </c>
      <c r="G720" s="17" t="str">
        <f>IF(ISBLANK(B720),"",VLOOKUP(B720,formules!E:L,8,0))</f>
        <v/>
      </c>
      <c r="H720" s="1" t="str">
        <f t="shared" si="58"/>
        <v/>
      </c>
      <c r="I720" s="1"/>
      <c r="J720" s="1" t="str">
        <f t="shared" si="59"/>
        <v/>
      </c>
    </row>
    <row r="721" spans="1:10" x14ac:dyDescent="0.2">
      <c r="A721" s="1" t="str">
        <f t="shared" si="55"/>
        <v/>
      </c>
      <c r="B721" s="1"/>
      <c r="C721" s="15" t="str">
        <f t="shared" ca="1" si="56"/>
        <v/>
      </c>
      <c r="D721" s="1" t="str">
        <f>IF(ISBLANK(B721),"",VLOOKUP(B721,formules!E:F,2,0))</f>
        <v/>
      </c>
      <c r="E721" s="1" t="str">
        <f t="shared" si="57"/>
        <v/>
      </c>
      <c r="F721" s="17" t="str">
        <f>IF(ISBLANK(B721),"",VLOOKUP(B721,formules!E:K,7,0))</f>
        <v/>
      </c>
      <c r="G721" s="17" t="str">
        <f>IF(ISBLANK(B721),"",VLOOKUP(B721,formules!E:L,8,0))</f>
        <v/>
      </c>
      <c r="H721" s="1" t="str">
        <f t="shared" si="58"/>
        <v/>
      </c>
      <c r="I721" s="1"/>
      <c r="J721" s="1" t="str">
        <f t="shared" si="59"/>
        <v/>
      </c>
    </row>
    <row r="722" spans="1:10" x14ac:dyDescent="0.2">
      <c r="A722" s="1" t="str">
        <f t="shared" si="55"/>
        <v/>
      </c>
      <c r="B722" s="1"/>
      <c r="C722" s="15" t="str">
        <f t="shared" ca="1" si="56"/>
        <v/>
      </c>
      <c r="D722" s="1" t="str">
        <f>IF(ISBLANK(B722),"",VLOOKUP(B722,formules!E:F,2,0))</f>
        <v/>
      </c>
      <c r="E722" s="1" t="str">
        <f t="shared" si="57"/>
        <v/>
      </c>
      <c r="F722" s="17" t="str">
        <f>IF(ISBLANK(B722),"",VLOOKUP(B722,formules!E:K,7,0))</f>
        <v/>
      </c>
      <c r="G722" s="17" t="str">
        <f>IF(ISBLANK(B722),"",VLOOKUP(B722,formules!E:L,8,0))</f>
        <v/>
      </c>
      <c r="H722" s="1" t="str">
        <f t="shared" si="58"/>
        <v/>
      </c>
      <c r="I722" s="1"/>
      <c r="J722" s="1" t="str">
        <f t="shared" si="59"/>
        <v/>
      </c>
    </row>
    <row r="723" spans="1:10" x14ac:dyDescent="0.2">
      <c r="A723" s="1" t="str">
        <f t="shared" si="55"/>
        <v/>
      </c>
      <c r="B723" s="1"/>
      <c r="C723" s="15" t="str">
        <f t="shared" ca="1" si="56"/>
        <v/>
      </c>
      <c r="D723" s="1" t="str">
        <f>IF(ISBLANK(B723),"",VLOOKUP(B723,formules!E:F,2,0))</f>
        <v/>
      </c>
      <c r="E723" s="1" t="str">
        <f t="shared" si="57"/>
        <v/>
      </c>
      <c r="F723" s="17" t="str">
        <f>IF(ISBLANK(B723),"",VLOOKUP(B723,formules!E:K,7,0))</f>
        <v/>
      </c>
      <c r="G723" s="17" t="str">
        <f>IF(ISBLANK(B723),"",VLOOKUP(B723,formules!E:L,8,0))</f>
        <v/>
      </c>
      <c r="H723" s="1" t="str">
        <f t="shared" si="58"/>
        <v/>
      </c>
      <c r="I723" s="1"/>
      <c r="J723" s="1" t="str">
        <f t="shared" si="59"/>
        <v/>
      </c>
    </row>
    <row r="724" spans="1:10" x14ac:dyDescent="0.2">
      <c r="A724" s="1" t="str">
        <f t="shared" si="55"/>
        <v/>
      </c>
      <c r="B724" s="1"/>
      <c r="C724" s="15" t="str">
        <f t="shared" ca="1" si="56"/>
        <v/>
      </c>
      <c r="D724" s="1" t="str">
        <f>IF(ISBLANK(B724),"",VLOOKUP(B724,formules!E:F,2,0))</f>
        <v/>
      </c>
      <c r="E724" s="1" t="str">
        <f t="shared" si="57"/>
        <v/>
      </c>
      <c r="F724" s="17" t="str">
        <f>IF(ISBLANK(B724),"",VLOOKUP(B724,formules!E:K,7,0))</f>
        <v/>
      </c>
      <c r="G724" s="17" t="str">
        <f>IF(ISBLANK(B724),"",VLOOKUP(B724,formules!E:L,8,0))</f>
        <v/>
      </c>
      <c r="H724" s="1" t="str">
        <f t="shared" si="58"/>
        <v/>
      </c>
      <c r="I724" s="1"/>
      <c r="J724" s="1" t="str">
        <f t="shared" si="59"/>
        <v/>
      </c>
    </row>
    <row r="725" spans="1:10" x14ac:dyDescent="0.2">
      <c r="A725" s="1" t="str">
        <f t="shared" si="55"/>
        <v/>
      </c>
      <c r="B725" s="1"/>
      <c r="C725" s="15" t="str">
        <f t="shared" ca="1" si="56"/>
        <v/>
      </c>
      <c r="D725" s="1" t="str">
        <f>IF(ISBLANK(B725),"",VLOOKUP(B725,formules!E:F,2,0))</f>
        <v/>
      </c>
      <c r="E725" s="1" t="str">
        <f t="shared" si="57"/>
        <v/>
      </c>
      <c r="F725" s="17" t="str">
        <f>IF(ISBLANK(B725),"",VLOOKUP(B725,formules!E:K,7,0))</f>
        <v/>
      </c>
      <c r="G725" s="17" t="str">
        <f>IF(ISBLANK(B725),"",VLOOKUP(B725,formules!E:L,8,0))</f>
        <v/>
      </c>
      <c r="H725" s="1" t="str">
        <f t="shared" si="58"/>
        <v/>
      </c>
      <c r="I725" s="1"/>
      <c r="J725" s="1" t="str">
        <f t="shared" si="59"/>
        <v/>
      </c>
    </row>
    <row r="726" spans="1:10" x14ac:dyDescent="0.2">
      <c r="A726" s="1" t="str">
        <f t="shared" si="55"/>
        <v/>
      </c>
      <c r="B726" s="1"/>
      <c r="C726" s="15" t="str">
        <f t="shared" ca="1" si="56"/>
        <v/>
      </c>
      <c r="D726" s="1" t="str">
        <f>IF(ISBLANK(B726),"",VLOOKUP(B726,formules!E:F,2,0))</f>
        <v/>
      </c>
      <c r="E726" s="1" t="str">
        <f t="shared" si="57"/>
        <v/>
      </c>
      <c r="F726" s="17" t="str">
        <f>IF(ISBLANK(B726),"",VLOOKUP(B726,formules!E:K,7,0))</f>
        <v/>
      </c>
      <c r="G726" s="17" t="str">
        <f>IF(ISBLANK(B726),"",VLOOKUP(B726,formules!E:L,8,0))</f>
        <v/>
      </c>
      <c r="H726" s="1" t="str">
        <f t="shared" si="58"/>
        <v/>
      </c>
      <c r="I726" s="1"/>
      <c r="J726" s="1" t="str">
        <f t="shared" si="59"/>
        <v/>
      </c>
    </row>
    <row r="727" spans="1:10" x14ac:dyDescent="0.2">
      <c r="A727" s="1" t="str">
        <f t="shared" si="55"/>
        <v/>
      </c>
      <c r="B727" s="1"/>
      <c r="C727" s="15" t="str">
        <f t="shared" ca="1" si="56"/>
        <v/>
      </c>
      <c r="D727" s="1" t="str">
        <f>IF(ISBLANK(B727),"",VLOOKUP(B727,formules!E:F,2,0))</f>
        <v/>
      </c>
      <c r="E727" s="1" t="str">
        <f t="shared" si="57"/>
        <v/>
      </c>
      <c r="F727" s="17" t="str">
        <f>IF(ISBLANK(B727),"",VLOOKUP(B727,formules!E:K,7,0))</f>
        <v/>
      </c>
      <c r="G727" s="17" t="str">
        <f>IF(ISBLANK(B727),"",VLOOKUP(B727,formules!E:L,8,0))</f>
        <v/>
      </c>
      <c r="H727" s="1" t="str">
        <f t="shared" si="58"/>
        <v/>
      </c>
      <c r="I727" s="1"/>
      <c r="J727" s="1" t="str">
        <f t="shared" si="59"/>
        <v/>
      </c>
    </row>
    <row r="728" spans="1:10" x14ac:dyDescent="0.2">
      <c r="A728" s="1" t="str">
        <f t="shared" si="55"/>
        <v/>
      </c>
      <c r="B728" s="1"/>
      <c r="C728" s="15" t="str">
        <f t="shared" ca="1" si="56"/>
        <v/>
      </c>
      <c r="D728" s="1" t="str">
        <f>IF(ISBLANK(B728),"",VLOOKUP(B728,formules!E:F,2,0))</f>
        <v/>
      </c>
      <c r="E728" s="1" t="str">
        <f t="shared" si="57"/>
        <v/>
      </c>
      <c r="F728" s="17" t="str">
        <f>IF(ISBLANK(B728),"",VLOOKUP(B728,formules!E:K,7,0))</f>
        <v/>
      </c>
      <c r="G728" s="17" t="str">
        <f>IF(ISBLANK(B728),"",VLOOKUP(B728,formules!E:L,8,0))</f>
        <v/>
      </c>
      <c r="H728" s="1" t="str">
        <f t="shared" si="58"/>
        <v/>
      </c>
      <c r="I728" s="1"/>
      <c r="J728" s="1" t="str">
        <f t="shared" si="59"/>
        <v/>
      </c>
    </row>
    <row r="729" spans="1:10" x14ac:dyDescent="0.2">
      <c r="A729" s="1" t="str">
        <f t="shared" si="55"/>
        <v/>
      </c>
      <c r="B729" s="1"/>
      <c r="C729" s="15" t="str">
        <f t="shared" ca="1" si="56"/>
        <v/>
      </c>
      <c r="D729" s="1" t="str">
        <f>IF(ISBLANK(B729),"",VLOOKUP(B729,formules!E:F,2,0))</f>
        <v/>
      </c>
      <c r="E729" s="1" t="str">
        <f t="shared" si="57"/>
        <v/>
      </c>
      <c r="F729" s="17" t="str">
        <f>IF(ISBLANK(B729),"",VLOOKUP(B729,formules!E:K,7,0))</f>
        <v/>
      </c>
      <c r="G729" s="17" t="str">
        <f>IF(ISBLANK(B729),"",VLOOKUP(B729,formules!E:L,8,0))</f>
        <v/>
      </c>
      <c r="H729" s="1" t="str">
        <f t="shared" si="58"/>
        <v/>
      </c>
      <c r="I729" s="1"/>
      <c r="J729" s="1" t="str">
        <f t="shared" si="59"/>
        <v/>
      </c>
    </row>
    <row r="730" spans="1:10" x14ac:dyDescent="0.2">
      <c r="A730" s="1" t="str">
        <f t="shared" si="55"/>
        <v/>
      </c>
      <c r="B730" s="1"/>
      <c r="C730" s="15" t="str">
        <f t="shared" ca="1" si="56"/>
        <v/>
      </c>
      <c r="D730" s="1" t="str">
        <f>IF(ISBLANK(B730),"",VLOOKUP(B730,formules!E:F,2,0))</f>
        <v/>
      </c>
      <c r="E730" s="1" t="str">
        <f t="shared" si="57"/>
        <v/>
      </c>
      <c r="F730" s="17" t="str">
        <f>IF(ISBLANK(B730),"",VLOOKUP(B730,formules!E:K,7,0))</f>
        <v/>
      </c>
      <c r="G730" s="17" t="str">
        <f>IF(ISBLANK(B730),"",VLOOKUP(B730,formules!E:L,8,0))</f>
        <v/>
      </c>
      <c r="H730" s="1" t="str">
        <f t="shared" si="58"/>
        <v/>
      </c>
      <c r="I730" s="1"/>
      <c r="J730" s="1" t="str">
        <f t="shared" si="59"/>
        <v/>
      </c>
    </row>
    <row r="731" spans="1:10" x14ac:dyDescent="0.2">
      <c r="A731" s="1" t="str">
        <f t="shared" si="55"/>
        <v/>
      </c>
      <c r="B731" s="1"/>
      <c r="C731" s="15" t="str">
        <f t="shared" ca="1" si="56"/>
        <v/>
      </c>
      <c r="D731" s="1" t="str">
        <f>IF(ISBLANK(B731),"",VLOOKUP(B731,formules!E:F,2,0))</f>
        <v/>
      </c>
      <c r="E731" s="1" t="str">
        <f t="shared" si="57"/>
        <v/>
      </c>
      <c r="F731" s="17" t="str">
        <f>IF(ISBLANK(B731),"",VLOOKUP(B731,formules!E:K,7,0))</f>
        <v/>
      </c>
      <c r="G731" s="17" t="str">
        <f>IF(ISBLANK(B731),"",VLOOKUP(B731,formules!E:L,8,0))</f>
        <v/>
      </c>
      <c r="H731" s="1" t="str">
        <f t="shared" si="58"/>
        <v/>
      </c>
      <c r="I731" s="1"/>
      <c r="J731" s="1" t="str">
        <f t="shared" si="59"/>
        <v/>
      </c>
    </row>
    <row r="732" spans="1:10" x14ac:dyDescent="0.2">
      <c r="A732" s="1" t="str">
        <f t="shared" si="55"/>
        <v/>
      </c>
      <c r="B732" s="1"/>
      <c r="C732" s="15" t="str">
        <f t="shared" ca="1" si="56"/>
        <v/>
      </c>
      <c r="D732" s="1" t="str">
        <f>IF(ISBLANK(B732),"",VLOOKUP(B732,formules!E:F,2,0))</f>
        <v/>
      </c>
      <c r="E732" s="1" t="str">
        <f t="shared" si="57"/>
        <v/>
      </c>
      <c r="F732" s="17" t="str">
        <f>IF(ISBLANK(B732),"",VLOOKUP(B732,formules!E:K,7,0))</f>
        <v/>
      </c>
      <c r="G732" s="17" t="str">
        <f>IF(ISBLANK(B732),"",VLOOKUP(B732,formules!E:L,8,0))</f>
        <v/>
      </c>
      <c r="H732" s="1" t="str">
        <f t="shared" si="58"/>
        <v/>
      </c>
      <c r="I732" s="1"/>
      <c r="J732" s="1" t="str">
        <f t="shared" si="59"/>
        <v/>
      </c>
    </row>
    <row r="733" spans="1:10" x14ac:dyDescent="0.2">
      <c r="A733" s="1" t="str">
        <f t="shared" si="55"/>
        <v/>
      </c>
      <c r="B733" s="1"/>
      <c r="C733" s="15" t="str">
        <f t="shared" ca="1" si="56"/>
        <v/>
      </c>
      <c r="D733" s="1" t="str">
        <f>IF(ISBLANK(B733),"",VLOOKUP(B733,formules!E:F,2,0))</f>
        <v/>
      </c>
      <c r="E733" s="1" t="str">
        <f t="shared" si="57"/>
        <v/>
      </c>
      <c r="F733" s="17" t="str">
        <f>IF(ISBLANK(B733),"",VLOOKUP(B733,formules!E:K,7,0))</f>
        <v/>
      </c>
      <c r="G733" s="17" t="str">
        <f>IF(ISBLANK(B733),"",VLOOKUP(B733,formules!E:L,8,0))</f>
        <v/>
      </c>
      <c r="H733" s="1" t="str">
        <f t="shared" si="58"/>
        <v/>
      </c>
      <c r="I733" s="1"/>
      <c r="J733" s="1" t="str">
        <f t="shared" si="59"/>
        <v/>
      </c>
    </row>
    <row r="734" spans="1:10" x14ac:dyDescent="0.2">
      <c r="A734" s="1" t="str">
        <f t="shared" si="55"/>
        <v/>
      </c>
      <c r="B734" s="1"/>
      <c r="C734" s="15" t="str">
        <f t="shared" ca="1" si="56"/>
        <v/>
      </c>
      <c r="D734" s="1" t="str">
        <f>IF(ISBLANK(B734),"",VLOOKUP(B734,formules!E:F,2,0))</f>
        <v/>
      </c>
      <c r="E734" s="1" t="str">
        <f t="shared" si="57"/>
        <v/>
      </c>
      <c r="F734" s="17" t="str">
        <f>IF(ISBLANK(B734),"",VLOOKUP(B734,formules!E:K,7,0))</f>
        <v/>
      </c>
      <c r="G734" s="17" t="str">
        <f>IF(ISBLANK(B734),"",VLOOKUP(B734,formules!E:L,8,0))</f>
        <v/>
      </c>
      <c r="H734" s="1" t="str">
        <f t="shared" si="58"/>
        <v/>
      </c>
      <c r="I734" s="1"/>
      <c r="J734" s="1" t="str">
        <f t="shared" si="59"/>
        <v/>
      </c>
    </row>
    <row r="735" spans="1:10" x14ac:dyDescent="0.2">
      <c r="A735" s="1" t="str">
        <f t="shared" si="55"/>
        <v/>
      </c>
      <c r="B735" s="1"/>
      <c r="C735" s="15" t="str">
        <f t="shared" ca="1" si="56"/>
        <v/>
      </c>
      <c r="D735" s="1" t="str">
        <f>IF(ISBLANK(B735),"",VLOOKUP(B735,formules!E:F,2,0))</f>
        <v/>
      </c>
      <c r="E735" s="1" t="str">
        <f t="shared" si="57"/>
        <v/>
      </c>
      <c r="F735" s="17" t="str">
        <f>IF(ISBLANK(B735),"",VLOOKUP(B735,formules!E:K,7,0))</f>
        <v/>
      </c>
      <c r="G735" s="17" t="str">
        <f>IF(ISBLANK(B735),"",VLOOKUP(B735,formules!E:L,8,0))</f>
        <v/>
      </c>
      <c r="H735" s="1" t="str">
        <f t="shared" si="58"/>
        <v/>
      </c>
      <c r="I735" s="1"/>
      <c r="J735" s="1" t="str">
        <f t="shared" si="59"/>
        <v/>
      </c>
    </row>
    <row r="736" spans="1:10" x14ac:dyDescent="0.2">
      <c r="A736" s="1" t="str">
        <f t="shared" si="55"/>
        <v/>
      </c>
      <c r="B736" s="1"/>
      <c r="C736" s="15" t="str">
        <f t="shared" ca="1" si="56"/>
        <v/>
      </c>
      <c r="D736" s="1" t="str">
        <f>IF(ISBLANK(B736),"",VLOOKUP(B736,formules!E:F,2,0))</f>
        <v/>
      </c>
      <c r="E736" s="1" t="str">
        <f t="shared" si="57"/>
        <v/>
      </c>
      <c r="F736" s="17" t="str">
        <f>IF(ISBLANK(B736),"",VLOOKUP(B736,formules!E:K,7,0))</f>
        <v/>
      </c>
      <c r="G736" s="17" t="str">
        <f>IF(ISBLANK(B736),"",VLOOKUP(B736,formules!E:L,8,0))</f>
        <v/>
      </c>
      <c r="H736" s="1" t="str">
        <f t="shared" si="58"/>
        <v/>
      </c>
      <c r="I736" s="1"/>
      <c r="J736" s="1" t="str">
        <f t="shared" si="59"/>
        <v/>
      </c>
    </row>
    <row r="737" spans="1:10" x14ac:dyDescent="0.2">
      <c r="A737" s="1" t="str">
        <f t="shared" si="55"/>
        <v/>
      </c>
      <c r="B737" s="1"/>
      <c r="C737" s="15" t="str">
        <f t="shared" ca="1" si="56"/>
        <v/>
      </c>
      <c r="D737" s="1" t="str">
        <f>IF(ISBLANK(B737),"",VLOOKUP(B737,formules!E:F,2,0))</f>
        <v/>
      </c>
      <c r="E737" s="1" t="str">
        <f t="shared" si="57"/>
        <v/>
      </c>
      <c r="F737" s="17" t="str">
        <f>IF(ISBLANK(B737),"",VLOOKUP(B737,formules!E:K,7,0))</f>
        <v/>
      </c>
      <c r="G737" s="17" t="str">
        <f>IF(ISBLANK(B737),"",VLOOKUP(B737,formules!E:L,8,0))</f>
        <v/>
      </c>
      <c r="H737" s="1" t="str">
        <f t="shared" si="58"/>
        <v/>
      </c>
      <c r="I737" s="1"/>
      <c r="J737" s="1" t="str">
        <f t="shared" si="59"/>
        <v/>
      </c>
    </row>
    <row r="738" spans="1:10" x14ac:dyDescent="0.2">
      <c r="A738" s="1" t="str">
        <f t="shared" si="55"/>
        <v/>
      </c>
      <c r="B738" s="1"/>
      <c r="C738" s="15" t="str">
        <f t="shared" ca="1" si="56"/>
        <v/>
      </c>
      <c r="D738" s="1" t="str">
        <f>IF(ISBLANK(B738),"",VLOOKUP(B738,formules!E:F,2,0))</f>
        <v/>
      </c>
      <c r="E738" s="1" t="str">
        <f t="shared" si="57"/>
        <v/>
      </c>
      <c r="F738" s="17" t="str">
        <f>IF(ISBLANK(B738),"",VLOOKUP(B738,formules!E:K,7,0))</f>
        <v/>
      </c>
      <c r="G738" s="17" t="str">
        <f>IF(ISBLANK(B738),"",VLOOKUP(B738,formules!E:L,8,0))</f>
        <v/>
      </c>
      <c r="H738" s="1" t="str">
        <f t="shared" si="58"/>
        <v/>
      </c>
      <c r="I738" s="1"/>
      <c r="J738" s="1" t="str">
        <f t="shared" si="59"/>
        <v/>
      </c>
    </row>
    <row r="739" spans="1:10" x14ac:dyDescent="0.2">
      <c r="A739" s="1" t="str">
        <f t="shared" si="55"/>
        <v/>
      </c>
      <c r="B739" s="1"/>
      <c r="C739" s="15" t="str">
        <f t="shared" ca="1" si="56"/>
        <v/>
      </c>
      <c r="D739" s="1" t="str">
        <f>IF(ISBLANK(B739),"",VLOOKUP(B739,formules!E:F,2,0))</f>
        <v/>
      </c>
      <c r="E739" s="1" t="str">
        <f t="shared" si="57"/>
        <v/>
      </c>
      <c r="F739" s="17" t="str">
        <f>IF(ISBLANK(B739),"",VLOOKUP(B739,formules!E:K,7,0))</f>
        <v/>
      </c>
      <c r="G739" s="17" t="str">
        <f>IF(ISBLANK(B739),"",VLOOKUP(B739,formules!E:L,8,0))</f>
        <v/>
      </c>
      <c r="H739" s="1" t="str">
        <f t="shared" si="58"/>
        <v/>
      </c>
      <c r="I739" s="1"/>
      <c r="J739" s="1" t="str">
        <f t="shared" si="59"/>
        <v/>
      </c>
    </row>
    <row r="740" spans="1:10" x14ac:dyDescent="0.2">
      <c r="A740" s="1" t="str">
        <f t="shared" si="55"/>
        <v/>
      </c>
      <c r="B740" s="1"/>
      <c r="C740" s="15" t="str">
        <f t="shared" ca="1" si="56"/>
        <v/>
      </c>
      <c r="D740" s="1" t="str">
        <f>IF(ISBLANK(B740),"",VLOOKUP(B740,formules!E:F,2,0))</f>
        <v/>
      </c>
      <c r="E740" s="1" t="str">
        <f t="shared" si="57"/>
        <v/>
      </c>
      <c r="F740" s="17" t="str">
        <f>IF(ISBLANK(B740),"",VLOOKUP(B740,formules!E:K,7,0))</f>
        <v/>
      </c>
      <c r="G740" s="17" t="str">
        <f>IF(ISBLANK(B740),"",VLOOKUP(B740,formules!E:L,8,0))</f>
        <v/>
      </c>
      <c r="H740" s="1" t="str">
        <f t="shared" si="58"/>
        <v/>
      </c>
      <c r="I740" s="1"/>
      <c r="J740" s="1" t="str">
        <f t="shared" si="59"/>
        <v/>
      </c>
    </row>
    <row r="741" spans="1:10" x14ac:dyDescent="0.2">
      <c r="A741" s="1" t="str">
        <f t="shared" si="55"/>
        <v/>
      </c>
      <c r="B741" s="1"/>
      <c r="C741" s="15" t="str">
        <f t="shared" ca="1" si="56"/>
        <v/>
      </c>
      <c r="D741" s="1" t="str">
        <f>IF(ISBLANK(B741),"",VLOOKUP(B741,formules!E:F,2,0))</f>
        <v/>
      </c>
      <c r="E741" s="1" t="str">
        <f t="shared" si="57"/>
        <v/>
      </c>
      <c r="F741" s="17" t="str">
        <f>IF(ISBLANK(B741),"",VLOOKUP(B741,formules!E:K,7,0))</f>
        <v/>
      </c>
      <c r="G741" s="17" t="str">
        <f>IF(ISBLANK(B741),"",VLOOKUP(B741,formules!E:L,8,0))</f>
        <v/>
      </c>
      <c r="H741" s="1" t="str">
        <f t="shared" si="58"/>
        <v/>
      </c>
      <c r="I741" s="1"/>
      <c r="J741" s="1" t="str">
        <f t="shared" si="59"/>
        <v/>
      </c>
    </row>
    <row r="742" spans="1:10" x14ac:dyDescent="0.2">
      <c r="A742" s="1" t="str">
        <f t="shared" si="55"/>
        <v/>
      </c>
      <c r="B742" s="1"/>
      <c r="C742" s="15" t="str">
        <f t="shared" ca="1" si="56"/>
        <v/>
      </c>
      <c r="D742" s="1" t="str">
        <f>IF(ISBLANK(B742),"",VLOOKUP(B742,formules!E:F,2,0))</f>
        <v/>
      </c>
      <c r="E742" s="1" t="str">
        <f t="shared" si="57"/>
        <v/>
      </c>
      <c r="F742" s="17" t="str">
        <f>IF(ISBLANK(B742),"",VLOOKUP(B742,formules!E:K,7,0))</f>
        <v/>
      </c>
      <c r="G742" s="17" t="str">
        <f>IF(ISBLANK(B742),"",VLOOKUP(B742,formules!E:L,8,0))</f>
        <v/>
      </c>
      <c r="H742" s="1" t="str">
        <f t="shared" si="58"/>
        <v/>
      </c>
      <c r="I742" s="1"/>
      <c r="J742" s="1" t="str">
        <f t="shared" si="59"/>
        <v/>
      </c>
    </row>
    <row r="743" spans="1:10" x14ac:dyDescent="0.2">
      <c r="A743" s="1" t="str">
        <f t="shared" si="55"/>
        <v/>
      </c>
      <c r="B743" s="1"/>
      <c r="C743" s="15" t="str">
        <f t="shared" ca="1" si="56"/>
        <v/>
      </c>
      <c r="D743" s="1" t="str">
        <f>IF(ISBLANK(B743),"",VLOOKUP(B743,formules!E:F,2,0))</f>
        <v/>
      </c>
      <c r="E743" s="1" t="str">
        <f t="shared" si="57"/>
        <v/>
      </c>
      <c r="F743" s="17" t="str">
        <f>IF(ISBLANK(B743),"",VLOOKUP(B743,formules!E:K,7,0))</f>
        <v/>
      </c>
      <c r="G743" s="17" t="str">
        <f>IF(ISBLANK(B743),"",VLOOKUP(B743,formules!E:L,8,0))</f>
        <v/>
      </c>
      <c r="H743" s="1" t="str">
        <f t="shared" si="58"/>
        <v/>
      </c>
      <c r="I743" s="1"/>
      <c r="J743" s="1" t="str">
        <f t="shared" si="59"/>
        <v/>
      </c>
    </row>
    <row r="744" spans="1:10" x14ac:dyDescent="0.2">
      <c r="A744" s="1" t="str">
        <f t="shared" si="55"/>
        <v/>
      </c>
      <c r="B744" s="1"/>
      <c r="C744" s="15" t="str">
        <f t="shared" ca="1" si="56"/>
        <v/>
      </c>
      <c r="D744" s="1" t="str">
        <f>IF(ISBLANK(B744),"",VLOOKUP(B744,formules!E:F,2,0))</f>
        <v/>
      </c>
      <c r="E744" s="1" t="str">
        <f t="shared" si="57"/>
        <v/>
      </c>
      <c r="F744" s="17" t="str">
        <f>IF(ISBLANK(B744),"",VLOOKUP(B744,formules!E:K,7,0))</f>
        <v/>
      </c>
      <c r="G744" s="17" t="str">
        <f>IF(ISBLANK(B744),"",VLOOKUP(B744,formules!E:L,8,0))</f>
        <v/>
      </c>
      <c r="H744" s="1" t="str">
        <f t="shared" si="58"/>
        <v/>
      </c>
      <c r="I744" s="1"/>
      <c r="J744" s="1" t="str">
        <f t="shared" si="59"/>
        <v/>
      </c>
    </row>
    <row r="745" spans="1:10" x14ac:dyDescent="0.2">
      <c r="A745" s="1" t="str">
        <f t="shared" si="55"/>
        <v/>
      </c>
      <c r="B745" s="1"/>
      <c r="C745" s="15" t="str">
        <f t="shared" ca="1" si="56"/>
        <v/>
      </c>
      <c r="D745" s="1" t="str">
        <f>IF(ISBLANK(B745),"",VLOOKUP(B745,formules!E:F,2,0))</f>
        <v/>
      </c>
      <c r="E745" s="1" t="str">
        <f t="shared" si="57"/>
        <v/>
      </c>
      <c r="F745" s="17" t="str">
        <f>IF(ISBLANK(B745),"",VLOOKUP(B745,formules!E:K,7,0))</f>
        <v/>
      </c>
      <c r="G745" s="17" t="str">
        <f>IF(ISBLANK(B745),"",VLOOKUP(B745,formules!E:L,8,0))</f>
        <v/>
      </c>
      <c r="H745" s="1" t="str">
        <f t="shared" si="58"/>
        <v/>
      </c>
      <c r="I745" s="1"/>
      <c r="J745" s="1" t="str">
        <f t="shared" si="59"/>
        <v/>
      </c>
    </row>
    <row r="746" spans="1:10" x14ac:dyDescent="0.2">
      <c r="A746" s="1" t="str">
        <f t="shared" si="55"/>
        <v/>
      </c>
      <c r="B746" s="1"/>
      <c r="C746" s="15" t="str">
        <f t="shared" ca="1" si="56"/>
        <v/>
      </c>
      <c r="D746" s="1" t="str">
        <f>IF(ISBLANK(B746),"",VLOOKUP(B746,formules!E:F,2,0))</f>
        <v/>
      </c>
      <c r="E746" s="1" t="str">
        <f t="shared" si="57"/>
        <v/>
      </c>
      <c r="F746" s="17" t="str">
        <f>IF(ISBLANK(B746),"",VLOOKUP(B746,formules!E:K,7,0))</f>
        <v/>
      </c>
      <c r="G746" s="17" t="str">
        <f>IF(ISBLANK(B746),"",VLOOKUP(B746,formules!E:L,8,0))</f>
        <v/>
      </c>
      <c r="H746" s="1" t="str">
        <f t="shared" si="58"/>
        <v/>
      </c>
      <c r="I746" s="1"/>
      <c r="J746" s="1" t="str">
        <f t="shared" si="59"/>
        <v/>
      </c>
    </row>
    <row r="747" spans="1:10" x14ac:dyDescent="0.2">
      <c r="A747" s="1" t="str">
        <f t="shared" si="55"/>
        <v/>
      </c>
      <c r="B747" s="1"/>
      <c r="C747" s="15" t="str">
        <f t="shared" ca="1" si="56"/>
        <v/>
      </c>
      <c r="D747" s="1" t="str">
        <f>IF(ISBLANK(B747),"",VLOOKUP(B747,formules!E:F,2,0))</f>
        <v/>
      </c>
      <c r="E747" s="1" t="str">
        <f t="shared" si="57"/>
        <v/>
      </c>
      <c r="F747" s="17" t="str">
        <f>IF(ISBLANK(B747),"",VLOOKUP(B747,formules!E:K,7,0))</f>
        <v/>
      </c>
      <c r="G747" s="17" t="str">
        <f>IF(ISBLANK(B747),"",VLOOKUP(B747,formules!E:L,8,0))</f>
        <v/>
      </c>
      <c r="H747" s="1" t="str">
        <f t="shared" si="58"/>
        <v/>
      </c>
      <c r="I747" s="1"/>
      <c r="J747" s="1" t="str">
        <f t="shared" si="59"/>
        <v/>
      </c>
    </row>
    <row r="748" spans="1:10" x14ac:dyDescent="0.2">
      <c r="A748" s="1" t="str">
        <f t="shared" si="55"/>
        <v/>
      </c>
      <c r="B748" s="1"/>
      <c r="C748" s="15" t="str">
        <f t="shared" ca="1" si="56"/>
        <v/>
      </c>
      <c r="D748" s="1" t="str">
        <f>IF(ISBLANK(B748),"",VLOOKUP(B748,formules!E:F,2,0))</f>
        <v/>
      </c>
      <c r="E748" s="1" t="str">
        <f t="shared" si="57"/>
        <v/>
      </c>
      <c r="F748" s="17" t="str">
        <f>IF(ISBLANK(B748),"",VLOOKUP(B748,formules!E:K,7,0))</f>
        <v/>
      </c>
      <c r="G748" s="17" t="str">
        <f>IF(ISBLANK(B748),"",VLOOKUP(B748,formules!E:L,8,0))</f>
        <v/>
      </c>
      <c r="H748" s="1" t="str">
        <f t="shared" si="58"/>
        <v/>
      </c>
      <c r="I748" s="1"/>
      <c r="J748" s="1" t="str">
        <f t="shared" si="59"/>
        <v/>
      </c>
    </row>
    <row r="749" spans="1:10" x14ac:dyDescent="0.2">
      <c r="A749" s="1" t="str">
        <f t="shared" si="55"/>
        <v/>
      </c>
      <c r="B749" s="1"/>
      <c r="C749" s="15" t="str">
        <f t="shared" ca="1" si="56"/>
        <v/>
      </c>
      <c r="D749" s="1" t="str">
        <f>IF(ISBLANK(B749),"",VLOOKUP(B749,formules!E:F,2,0))</f>
        <v/>
      </c>
      <c r="E749" s="1" t="str">
        <f t="shared" si="57"/>
        <v/>
      </c>
      <c r="F749" s="17" t="str">
        <f>IF(ISBLANK(B749),"",VLOOKUP(B749,formules!E:K,7,0))</f>
        <v/>
      </c>
      <c r="G749" s="17" t="str">
        <f>IF(ISBLANK(B749),"",VLOOKUP(B749,formules!E:L,8,0))</f>
        <v/>
      </c>
      <c r="H749" s="1" t="str">
        <f t="shared" si="58"/>
        <v/>
      </c>
      <c r="I749" s="1"/>
      <c r="J749" s="1" t="str">
        <f t="shared" si="59"/>
        <v/>
      </c>
    </row>
    <row r="750" spans="1:10" x14ac:dyDescent="0.2">
      <c r="A750" s="1" t="str">
        <f t="shared" si="55"/>
        <v/>
      </c>
      <c r="B750" s="1"/>
      <c r="C750" s="15" t="str">
        <f t="shared" ca="1" si="56"/>
        <v/>
      </c>
      <c r="D750" s="1" t="str">
        <f>IF(ISBLANK(B750),"",VLOOKUP(B750,formules!E:F,2,0))</f>
        <v/>
      </c>
      <c r="E750" s="1" t="str">
        <f t="shared" si="57"/>
        <v/>
      </c>
      <c r="F750" s="17" t="str">
        <f>IF(ISBLANK(B750),"",VLOOKUP(B750,formules!E:K,7,0))</f>
        <v/>
      </c>
      <c r="G750" s="17" t="str">
        <f>IF(ISBLANK(B750),"",VLOOKUP(B750,formules!E:L,8,0))</f>
        <v/>
      </c>
      <c r="H750" s="1" t="str">
        <f t="shared" si="58"/>
        <v/>
      </c>
      <c r="I750" s="1"/>
      <c r="J750" s="1" t="str">
        <f t="shared" si="59"/>
        <v/>
      </c>
    </row>
    <row r="751" spans="1:10" x14ac:dyDescent="0.2">
      <c r="A751" s="1" t="str">
        <f t="shared" si="55"/>
        <v/>
      </c>
      <c r="B751" s="1"/>
      <c r="C751" s="15" t="str">
        <f t="shared" ca="1" si="56"/>
        <v/>
      </c>
      <c r="D751" s="1" t="str">
        <f>IF(ISBLANK(B751),"",VLOOKUP(B751,formules!E:F,2,0))</f>
        <v/>
      </c>
      <c r="E751" s="1" t="str">
        <f t="shared" si="57"/>
        <v/>
      </c>
      <c r="F751" s="17" t="str">
        <f>IF(ISBLANK(B751),"",VLOOKUP(B751,formules!E:K,7,0))</f>
        <v/>
      </c>
      <c r="G751" s="17" t="str">
        <f>IF(ISBLANK(B751),"",VLOOKUP(B751,formules!E:L,8,0))</f>
        <v/>
      </c>
      <c r="H751" s="1" t="str">
        <f t="shared" si="58"/>
        <v/>
      </c>
      <c r="I751" s="1"/>
      <c r="J751" s="1" t="str">
        <f t="shared" si="59"/>
        <v/>
      </c>
    </row>
    <row r="752" spans="1:10" x14ac:dyDescent="0.2">
      <c r="A752" s="1" t="str">
        <f t="shared" si="55"/>
        <v/>
      </c>
      <c r="B752" s="1"/>
      <c r="C752" s="15" t="str">
        <f t="shared" ca="1" si="56"/>
        <v/>
      </c>
      <c r="D752" s="1" t="str">
        <f>IF(ISBLANK(B752),"",VLOOKUP(B752,formules!E:F,2,0))</f>
        <v/>
      </c>
      <c r="E752" s="1" t="str">
        <f t="shared" si="57"/>
        <v/>
      </c>
      <c r="F752" s="17" t="str">
        <f>IF(ISBLANK(B752),"",VLOOKUP(B752,formules!E:K,7,0))</f>
        <v/>
      </c>
      <c r="G752" s="17" t="str">
        <f>IF(ISBLANK(B752),"",VLOOKUP(B752,formules!E:L,8,0))</f>
        <v/>
      </c>
      <c r="H752" s="1" t="str">
        <f t="shared" si="58"/>
        <v/>
      </c>
      <c r="I752" s="1"/>
      <c r="J752" s="1" t="str">
        <f t="shared" si="59"/>
        <v/>
      </c>
    </row>
    <row r="753" spans="1:10" x14ac:dyDescent="0.2">
      <c r="A753" s="1" t="str">
        <f t="shared" si="55"/>
        <v/>
      </c>
      <c r="B753" s="1"/>
      <c r="C753" s="15" t="str">
        <f t="shared" ca="1" si="56"/>
        <v/>
      </c>
      <c r="D753" s="1" t="str">
        <f>IF(ISBLANK(B753),"",VLOOKUP(B753,formules!E:F,2,0))</f>
        <v/>
      </c>
      <c r="E753" s="1" t="str">
        <f t="shared" si="57"/>
        <v/>
      </c>
      <c r="F753" s="17" t="str">
        <f>IF(ISBLANK(B753),"",VLOOKUP(B753,formules!E:K,7,0))</f>
        <v/>
      </c>
      <c r="G753" s="17" t="str">
        <f>IF(ISBLANK(B753),"",VLOOKUP(B753,formules!E:L,8,0))</f>
        <v/>
      </c>
      <c r="H753" s="1" t="str">
        <f t="shared" si="58"/>
        <v/>
      </c>
      <c r="I753" s="1"/>
      <c r="J753" s="1" t="str">
        <f t="shared" si="59"/>
        <v/>
      </c>
    </row>
    <row r="754" spans="1:10" x14ac:dyDescent="0.2">
      <c r="A754" s="1" t="str">
        <f t="shared" si="55"/>
        <v/>
      </c>
      <c r="B754" s="1"/>
      <c r="C754" s="15" t="str">
        <f t="shared" ca="1" si="56"/>
        <v/>
      </c>
      <c r="D754" s="1" t="str">
        <f>IF(ISBLANK(B754),"",VLOOKUP(B754,formules!E:F,2,0))</f>
        <v/>
      </c>
      <c r="E754" s="1" t="str">
        <f t="shared" si="57"/>
        <v/>
      </c>
      <c r="F754" s="17" t="str">
        <f>IF(ISBLANK(B754),"",VLOOKUP(B754,formules!E:K,7,0))</f>
        <v/>
      </c>
      <c r="G754" s="17" t="str">
        <f>IF(ISBLANK(B754),"",VLOOKUP(B754,formules!E:L,8,0))</f>
        <v/>
      </c>
      <c r="H754" s="1" t="str">
        <f t="shared" si="58"/>
        <v/>
      </c>
      <c r="I754" s="1"/>
      <c r="J754" s="1" t="str">
        <f t="shared" si="59"/>
        <v/>
      </c>
    </row>
    <row r="755" spans="1:10" x14ac:dyDescent="0.2">
      <c r="A755" s="1" t="str">
        <f t="shared" si="55"/>
        <v/>
      </c>
      <c r="B755" s="1"/>
      <c r="C755" s="15" t="str">
        <f t="shared" ca="1" si="56"/>
        <v/>
      </c>
      <c r="D755" s="1" t="str">
        <f>IF(ISBLANK(B755),"",VLOOKUP(B755,formules!E:F,2,0))</f>
        <v/>
      </c>
      <c r="E755" s="1" t="str">
        <f t="shared" si="57"/>
        <v/>
      </c>
      <c r="F755" s="17" t="str">
        <f>IF(ISBLANK(B755),"",VLOOKUP(B755,formules!E:K,7,0))</f>
        <v/>
      </c>
      <c r="G755" s="17" t="str">
        <f>IF(ISBLANK(B755),"",VLOOKUP(B755,formules!E:L,8,0))</f>
        <v/>
      </c>
      <c r="H755" s="1" t="str">
        <f t="shared" si="58"/>
        <v/>
      </c>
      <c r="I755" s="1"/>
      <c r="J755" s="1" t="str">
        <f t="shared" si="59"/>
        <v/>
      </c>
    </row>
    <row r="756" spans="1:10" x14ac:dyDescent="0.2">
      <c r="A756" s="1" t="str">
        <f t="shared" si="55"/>
        <v/>
      </c>
      <c r="B756" s="1"/>
      <c r="C756" s="15" t="str">
        <f t="shared" ca="1" si="56"/>
        <v/>
      </c>
      <c r="D756" s="1" t="str">
        <f>IF(ISBLANK(B756),"",VLOOKUP(B756,formules!E:F,2,0))</f>
        <v/>
      </c>
      <c r="E756" s="1" t="str">
        <f t="shared" si="57"/>
        <v/>
      </c>
      <c r="F756" s="17" t="str">
        <f>IF(ISBLANK(B756),"",VLOOKUP(B756,formules!E:K,7,0))</f>
        <v/>
      </c>
      <c r="G756" s="17" t="str">
        <f>IF(ISBLANK(B756),"",VLOOKUP(B756,formules!E:L,8,0))</f>
        <v/>
      </c>
      <c r="H756" s="1" t="str">
        <f t="shared" si="58"/>
        <v/>
      </c>
      <c r="I756" s="1"/>
      <c r="J756" s="1" t="str">
        <f t="shared" si="59"/>
        <v/>
      </c>
    </row>
    <row r="757" spans="1:10" x14ac:dyDescent="0.2">
      <c r="A757" s="1" t="str">
        <f t="shared" si="55"/>
        <v/>
      </c>
      <c r="B757" s="1"/>
      <c r="C757" s="15" t="str">
        <f t="shared" ca="1" si="56"/>
        <v/>
      </c>
      <c r="D757" s="1" t="str">
        <f>IF(ISBLANK(B757),"",VLOOKUP(B757,formules!E:F,2,0))</f>
        <v/>
      </c>
      <c r="E757" s="1" t="str">
        <f t="shared" si="57"/>
        <v/>
      </c>
      <c r="F757" s="17" t="str">
        <f>IF(ISBLANK(B757),"",VLOOKUP(B757,formules!E:K,7,0))</f>
        <v/>
      </c>
      <c r="G757" s="17" t="str">
        <f>IF(ISBLANK(B757),"",VLOOKUP(B757,formules!E:L,8,0))</f>
        <v/>
      </c>
      <c r="H757" s="1" t="str">
        <f t="shared" si="58"/>
        <v/>
      </c>
      <c r="I757" s="1"/>
      <c r="J757" s="1" t="str">
        <f t="shared" si="59"/>
        <v/>
      </c>
    </row>
    <row r="758" spans="1:10" x14ac:dyDescent="0.2">
      <c r="A758" s="1" t="str">
        <f t="shared" si="55"/>
        <v/>
      </c>
      <c r="B758" s="1"/>
      <c r="C758" s="15" t="str">
        <f t="shared" ca="1" si="56"/>
        <v/>
      </c>
      <c r="D758" s="1" t="str">
        <f>IF(ISBLANK(B758),"",VLOOKUP(B758,formules!E:F,2,0))</f>
        <v/>
      </c>
      <c r="E758" s="1" t="str">
        <f t="shared" si="57"/>
        <v/>
      </c>
      <c r="F758" s="17" t="str">
        <f>IF(ISBLANK(B758),"",VLOOKUP(B758,formules!E:K,7,0))</f>
        <v/>
      </c>
      <c r="G758" s="17" t="str">
        <f>IF(ISBLANK(B758),"",VLOOKUP(B758,formules!E:L,8,0))</f>
        <v/>
      </c>
      <c r="H758" s="1" t="str">
        <f t="shared" si="58"/>
        <v/>
      </c>
      <c r="I758" s="1"/>
      <c r="J758" s="1" t="str">
        <f t="shared" si="59"/>
        <v/>
      </c>
    </row>
    <row r="759" spans="1:10" x14ac:dyDescent="0.2">
      <c r="A759" s="1" t="str">
        <f t="shared" si="55"/>
        <v/>
      </c>
      <c r="B759" s="1"/>
      <c r="C759" s="15" t="str">
        <f t="shared" ca="1" si="56"/>
        <v/>
      </c>
      <c r="D759" s="1" t="str">
        <f>IF(ISBLANK(B759),"",VLOOKUP(B759,formules!E:F,2,0))</f>
        <v/>
      </c>
      <c r="E759" s="1" t="str">
        <f t="shared" si="57"/>
        <v/>
      </c>
      <c r="F759" s="17" t="str">
        <f>IF(ISBLANK(B759),"",VLOOKUP(B759,formules!E:K,7,0))</f>
        <v/>
      </c>
      <c r="G759" s="17" t="str">
        <f>IF(ISBLANK(B759),"",VLOOKUP(B759,formules!E:L,8,0))</f>
        <v/>
      </c>
      <c r="H759" s="1" t="str">
        <f t="shared" si="58"/>
        <v/>
      </c>
      <c r="I759" s="1"/>
      <c r="J759" s="1" t="str">
        <f t="shared" si="59"/>
        <v/>
      </c>
    </row>
    <row r="760" spans="1:10" x14ac:dyDescent="0.2">
      <c r="A760" s="1" t="str">
        <f t="shared" si="55"/>
        <v/>
      </c>
      <c r="B760" s="1"/>
      <c r="C760" s="15" t="str">
        <f t="shared" ca="1" si="56"/>
        <v/>
      </c>
      <c r="D760" s="1" t="str">
        <f>IF(ISBLANK(B760),"",VLOOKUP(B760,formules!E:F,2,0))</f>
        <v/>
      </c>
      <c r="E760" s="1" t="str">
        <f t="shared" si="57"/>
        <v/>
      </c>
      <c r="F760" s="17" t="str">
        <f>IF(ISBLANK(B760),"",VLOOKUP(B760,formules!E:K,7,0))</f>
        <v/>
      </c>
      <c r="G760" s="17" t="str">
        <f>IF(ISBLANK(B760),"",VLOOKUP(B760,formules!E:L,8,0))</f>
        <v/>
      </c>
      <c r="H760" s="1" t="str">
        <f t="shared" si="58"/>
        <v/>
      </c>
      <c r="I760" s="1"/>
      <c r="J760" s="1" t="str">
        <f t="shared" si="59"/>
        <v/>
      </c>
    </row>
    <row r="761" spans="1:10" x14ac:dyDescent="0.2">
      <c r="A761" s="1" t="str">
        <f t="shared" si="55"/>
        <v/>
      </c>
      <c r="B761" s="1"/>
      <c r="C761" s="15" t="str">
        <f t="shared" ca="1" si="56"/>
        <v/>
      </c>
      <c r="D761" s="1" t="str">
        <f>IF(ISBLANK(B761),"",VLOOKUP(B761,formules!E:F,2,0))</f>
        <v/>
      </c>
      <c r="E761" s="1" t="str">
        <f t="shared" si="57"/>
        <v/>
      </c>
      <c r="F761" s="17" t="str">
        <f>IF(ISBLANK(B761),"",VLOOKUP(B761,formules!E:K,7,0))</f>
        <v/>
      </c>
      <c r="G761" s="17" t="str">
        <f>IF(ISBLANK(B761),"",VLOOKUP(B761,formules!E:L,8,0))</f>
        <v/>
      </c>
      <c r="H761" s="1" t="str">
        <f t="shared" si="58"/>
        <v/>
      </c>
      <c r="I761" s="1"/>
      <c r="J761" s="1" t="str">
        <f t="shared" si="59"/>
        <v/>
      </c>
    </row>
    <row r="762" spans="1:10" x14ac:dyDescent="0.2">
      <c r="A762" s="1" t="str">
        <f t="shared" si="55"/>
        <v/>
      </c>
      <c r="B762" s="1"/>
      <c r="C762" s="15" t="str">
        <f t="shared" ca="1" si="56"/>
        <v/>
      </c>
      <c r="D762" s="1" t="str">
        <f>IF(ISBLANK(B762),"",VLOOKUP(B762,formules!E:F,2,0))</f>
        <v/>
      </c>
      <c r="E762" s="1" t="str">
        <f t="shared" si="57"/>
        <v/>
      </c>
      <c r="F762" s="17" t="str">
        <f>IF(ISBLANK(B762),"",VLOOKUP(B762,formules!E:K,7,0))</f>
        <v/>
      </c>
      <c r="G762" s="17" t="str">
        <f>IF(ISBLANK(B762),"",VLOOKUP(B762,formules!E:L,8,0))</f>
        <v/>
      </c>
      <c r="H762" s="1" t="str">
        <f t="shared" si="58"/>
        <v/>
      </c>
      <c r="I762" s="1"/>
      <c r="J762" s="1" t="str">
        <f t="shared" si="59"/>
        <v/>
      </c>
    </row>
    <row r="763" spans="1:10" x14ac:dyDescent="0.2">
      <c r="A763" s="1" t="str">
        <f t="shared" si="55"/>
        <v/>
      </c>
      <c r="B763" s="1"/>
      <c r="C763" s="15" t="str">
        <f t="shared" ca="1" si="56"/>
        <v/>
      </c>
      <c r="D763" s="1" t="str">
        <f>IF(ISBLANK(B763),"",VLOOKUP(B763,formules!E:F,2,0))</f>
        <v/>
      </c>
      <c r="E763" s="1" t="str">
        <f t="shared" si="57"/>
        <v/>
      </c>
      <c r="F763" s="17" t="str">
        <f>IF(ISBLANK(B763),"",VLOOKUP(B763,formules!E:K,7,0))</f>
        <v/>
      </c>
      <c r="G763" s="17" t="str">
        <f>IF(ISBLANK(B763),"",VLOOKUP(B763,formules!E:L,8,0))</f>
        <v/>
      </c>
      <c r="H763" s="1" t="str">
        <f t="shared" si="58"/>
        <v/>
      </c>
      <c r="I763" s="1"/>
      <c r="J763" s="1" t="str">
        <f t="shared" si="59"/>
        <v/>
      </c>
    </row>
    <row r="764" spans="1:10" x14ac:dyDescent="0.2">
      <c r="A764" s="1" t="str">
        <f t="shared" si="55"/>
        <v/>
      </c>
      <c r="B764" s="1"/>
      <c r="C764" s="15" t="str">
        <f t="shared" ca="1" si="56"/>
        <v/>
      </c>
      <c r="D764" s="1" t="str">
        <f>IF(ISBLANK(B764),"",VLOOKUP(B764,formules!E:F,2,0))</f>
        <v/>
      </c>
      <c r="E764" s="1" t="str">
        <f t="shared" si="57"/>
        <v/>
      </c>
      <c r="F764" s="17" t="str">
        <f>IF(ISBLANK(B764),"",VLOOKUP(B764,formules!E:K,7,0))</f>
        <v/>
      </c>
      <c r="G764" s="17" t="str">
        <f>IF(ISBLANK(B764),"",VLOOKUP(B764,formules!E:L,8,0))</f>
        <v/>
      </c>
      <c r="H764" s="1" t="str">
        <f t="shared" si="58"/>
        <v/>
      </c>
      <c r="I764" s="1"/>
      <c r="J764" s="1" t="str">
        <f t="shared" si="59"/>
        <v/>
      </c>
    </row>
    <row r="765" spans="1:10" x14ac:dyDescent="0.2">
      <c r="A765" s="1" t="str">
        <f t="shared" si="55"/>
        <v/>
      </c>
      <c r="B765" s="1"/>
      <c r="C765" s="15" t="str">
        <f t="shared" ca="1" si="56"/>
        <v/>
      </c>
      <c r="D765" s="1" t="str">
        <f>IF(ISBLANK(B765),"",VLOOKUP(B765,formules!E:F,2,0))</f>
        <v/>
      </c>
      <c r="E765" s="1" t="str">
        <f t="shared" si="57"/>
        <v/>
      </c>
      <c r="F765" s="17" t="str">
        <f>IF(ISBLANK(B765),"",VLOOKUP(B765,formules!E:K,7,0))</f>
        <v/>
      </c>
      <c r="G765" s="17" t="str">
        <f>IF(ISBLANK(B765),"",VLOOKUP(B765,formules!E:L,8,0))</f>
        <v/>
      </c>
      <c r="H765" s="1" t="str">
        <f t="shared" si="58"/>
        <v/>
      </c>
      <c r="I765" s="1"/>
      <c r="J765" s="1" t="str">
        <f t="shared" si="59"/>
        <v/>
      </c>
    </row>
    <row r="766" spans="1:10" x14ac:dyDescent="0.2">
      <c r="A766" s="1" t="str">
        <f t="shared" si="55"/>
        <v/>
      </c>
      <c r="B766" s="1"/>
      <c r="C766" s="15" t="str">
        <f t="shared" ca="1" si="56"/>
        <v/>
      </c>
      <c r="D766" s="1" t="str">
        <f>IF(ISBLANK(B766),"",VLOOKUP(B766,formules!E:F,2,0))</f>
        <v/>
      </c>
      <c r="E766" s="1" t="str">
        <f t="shared" si="57"/>
        <v/>
      </c>
      <c r="F766" s="17" t="str">
        <f>IF(ISBLANK(B766),"",VLOOKUP(B766,formules!E:K,7,0))</f>
        <v/>
      </c>
      <c r="G766" s="17" t="str">
        <f>IF(ISBLANK(B766),"",VLOOKUP(B766,formules!E:L,8,0))</f>
        <v/>
      </c>
      <c r="H766" s="1" t="str">
        <f t="shared" si="58"/>
        <v/>
      </c>
      <c r="I766" s="1"/>
      <c r="J766" s="1" t="str">
        <f t="shared" si="59"/>
        <v/>
      </c>
    </row>
    <row r="767" spans="1:10" x14ac:dyDescent="0.2">
      <c r="A767" s="1" t="str">
        <f t="shared" si="55"/>
        <v/>
      </c>
      <c r="B767" s="1"/>
      <c r="C767" s="15" t="str">
        <f t="shared" ca="1" si="56"/>
        <v/>
      </c>
      <c r="D767" s="1" t="str">
        <f>IF(ISBLANK(B767),"",VLOOKUP(B767,formules!E:F,2,0))</f>
        <v/>
      </c>
      <c r="E767" s="1" t="str">
        <f t="shared" si="57"/>
        <v/>
      </c>
      <c r="F767" s="17" t="str">
        <f>IF(ISBLANK(B767),"",VLOOKUP(B767,formules!E:K,7,0))</f>
        <v/>
      </c>
      <c r="G767" s="17" t="str">
        <f>IF(ISBLANK(B767),"",VLOOKUP(B767,formules!E:L,8,0))</f>
        <v/>
      </c>
      <c r="H767" s="1" t="str">
        <f t="shared" si="58"/>
        <v/>
      </c>
      <c r="I767" s="1"/>
      <c r="J767" s="1" t="str">
        <f t="shared" si="59"/>
        <v/>
      </c>
    </row>
    <row r="768" spans="1:10" x14ac:dyDescent="0.2">
      <c r="A768" s="1" t="str">
        <f t="shared" si="55"/>
        <v/>
      </c>
      <c r="B768" s="1"/>
      <c r="C768" s="15" t="str">
        <f t="shared" ca="1" si="56"/>
        <v/>
      </c>
      <c r="D768" s="1" t="str">
        <f>IF(ISBLANK(B768),"",VLOOKUP(B768,formules!E:F,2,0))</f>
        <v/>
      </c>
      <c r="E768" s="1" t="str">
        <f t="shared" si="57"/>
        <v/>
      </c>
      <c r="F768" s="17" t="str">
        <f>IF(ISBLANK(B768),"",VLOOKUP(B768,formules!E:K,7,0))</f>
        <v/>
      </c>
      <c r="G768" s="17" t="str">
        <f>IF(ISBLANK(B768),"",VLOOKUP(B768,formules!E:L,8,0))</f>
        <v/>
      </c>
      <c r="H768" s="1" t="str">
        <f t="shared" si="58"/>
        <v/>
      </c>
      <c r="I768" s="1"/>
      <c r="J768" s="1" t="str">
        <f t="shared" si="59"/>
        <v/>
      </c>
    </row>
    <row r="769" spans="1:10" x14ac:dyDescent="0.2">
      <c r="A769" s="1" t="str">
        <f t="shared" si="55"/>
        <v/>
      </c>
      <c r="B769" s="1"/>
      <c r="C769" s="15" t="str">
        <f t="shared" ca="1" si="56"/>
        <v/>
      </c>
      <c r="D769" s="1" t="str">
        <f>IF(ISBLANK(B769),"",VLOOKUP(B769,formules!E:F,2,0))</f>
        <v/>
      </c>
      <c r="E769" s="1" t="str">
        <f t="shared" si="57"/>
        <v/>
      </c>
      <c r="F769" s="17" t="str">
        <f>IF(ISBLANK(B769),"",VLOOKUP(B769,formules!E:K,7,0))</f>
        <v/>
      </c>
      <c r="G769" s="17" t="str">
        <f>IF(ISBLANK(B769),"",VLOOKUP(B769,formules!E:L,8,0))</f>
        <v/>
      </c>
      <c r="H769" s="1" t="str">
        <f t="shared" si="58"/>
        <v/>
      </c>
      <c r="I769" s="1"/>
      <c r="J769" s="1" t="str">
        <f t="shared" si="59"/>
        <v/>
      </c>
    </row>
    <row r="770" spans="1:10" x14ac:dyDescent="0.2">
      <c r="A770" s="1" t="str">
        <f t="shared" si="55"/>
        <v/>
      </c>
      <c r="B770" s="1"/>
      <c r="C770" s="15" t="str">
        <f t="shared" ca="1" si="56"/>
        <v/>
      </c>
      <c r="D770" s="1" t="str">
        <f>IF(ISBLANK(B770),"",VLOOKUP(B770,formules!E:F,2,0))</f>
        <v/>
      </c>
      <c r="E770" s="1" t="str">
        <f t="shared" si="57"/>
        <v/>
      </c>
      <c r="F770" s="17" t="str">
        <f>IF(ISBLANK(B770),"",VLOOKUP(B770,formules!E:K,7,0))</f>
        <v/>
      </c>
      <c r="G770" s="17" t="str">
        <f>IF(ISBLANK(B770),"",VLOOKUP(B770,formules!E:L,8,0))</f>
        <v/>
      </c>
      <c r="H770" s="1" t="str">
        <f t="shared" si="58"/>
        <v/>
      </c>
      <c r="I770" s="1"/>
      <c r="J770" s="1" t="str">
        <f t="shared" si="59"/>
        <v/>
      </c>
    </row>
    <row r="771" spans="1:10" x14ac:dyDescent="0.2">
      <c r="A771" s="1" t="str">
        <f t="shared" ref="A771:A834" si="60">IF(ISBLANK(B771),"","variation")</f>
        <v/>
      </c>
      <c r="B771" s="1"/>
      <c r="C771" s="15" t="str">
        <f t="shared" ref="C771:C834" ca="1" si="61">IF(ISBLANK(B771),"",RANDBETWEEN(1111111111111,9999999999999))</f>
        <v/>
      </c>
      <c r="D771" s="1" t="str">
        <f>IF(ISBLANK(B771),"",VLOOKUP(B771,formules!E:F,2,0))</f>
        <v/>
      </c>
      <c r="E771" s="1" t="str">
        <f t="shared" ref="E771:E834" si="62">IF(ISBLANK(B771),"",1)</f>
        <v/>
      </c>
      <c r="F771" s="17" t="str">
        <f>IF(ISBLANK(B771),"",VLOOKUP(B771,formules!E:K,7,0))</f>
        <v/>
      </c>
      <c r="G771" s="17" t="str">
        <f>IF(ISBLANK(B771),"",VLOOKUP(B771,formules!E:L,8,0))</f>
        <v/>
      </c>
      <c r="H771" s="1" t="str">
        <f t="shared" ref="H771:H834" si="63">IF(ISBLANK(B771),"","Size")</f>
        <v/>
      </c>
      <c r="I771" s="1"/>
      <c r="J771" s="1" t="str">
        <f t="shared" ref="J771:J834" si="64">IF(ISBLANK(B771),"",1)</f>
        <v/>
      </c>
    </row>
    <row r="772" spans="1:10" x14ac:dyDescent="0.2">
      <c r="A772" s="1" t="str">
        <f t="shared" si="60"/>
        <v/>
      </c>
      <c r="B772" s="1"/>
      <c r="C772" s="15" t="str">
        <f t="shared" ca="1" si="61"/>
        <v/>
      </c>
      <c r="D772" s="1" t="str">
        <f>IF(ISBLANK(B772),"",VLOOKUP(B772,formules!E:F,2,0))</f>
        <v/>
      </c>
      <c r="E772" s="1" t="str">
        <f t="shared" si="62"/>
        <v/>
      </c>
      <c r="F772" s="17" t="str">
        <f>IF(ISBLANK(B772),"",VLOOKUP(B772,formules!E:K,7,0))</f>
        <v/>
      </c>
      <c r="G772" s="17" t="str">
        <f>IF(ISBLANK(B772),"",VLOOKUP(B772,formules!E:L,8,0))</f>
        <v/>
      </c>
      <c r="H772" s="1" t="str">
        <f t="shared" si="63"/>
        <v/>
      </c>
      <c r="I772" s="1"/>
      <c r="J772" s="1" t="str">
        <f t="shared" si="64"/>
        <v/>
      </c>
    </row>
    <row r="773" spans="1:10" x14ac:dyDescent="0.2">
      <c r="A773" s="1" t="str">
        <f t="shared" si="60"/>
        <v/>
      </c>
      <c r="B773" s="1"/>
      <c r="C773" s="15" t="str">
        <f t="shared" ca="1" si="61"/>
        <v/>
      </c>
      <c r="D773" s="1" t="str">
        <f>IF(ISBLANK(B773),"",VLOOKUP(B773,formules!E:F,2,0))</f>
        <v/>
      </c>
      <c r="E773" s="1" t="str">
        <f t="shared" si="62"/>
        <v/>
      </c>
      <c r="F773" s="17" t="str">
        <f>IF(ISBLANK(B773),"",VLOOKUP(B773,formules!E:K,7,0))</f>
        <v/>
      </c>
      <c r="G773" s="17" t="str">
        <f>IF(ISBLANK(B773),"",VLOOKUP(B773,formules!E:L,8,0))</f>
        <v/>
      </c>
      <c r="H773" s="1" t="str">
        <f t="shared" si="63"/>
        <v/>
      </c>
      <c r="I773" s="1"/>
      <c r="J773" s="1" t="str">
        <f t="shared" si="64"/>
        <v/>
      </c>
    </row>
    <row r="774" spans="1:10" x14ac:dyDescent="0.2">
      <c r="A774" s="1" t="str">
        <f t="shared" si="60"/>
        <v/>
      </c>
      <c r="B774" s="1"/>
      <c r="C774" s="15" t="str">
        <f t="shared" ca="1" si="61"/>
        <v/>
      </c>
      <c r="D774" s="1" t="str">
        <f>IF(ISBLANK(B774),"",VLOOKUP(B774,formules!E:F,2,0))</f>
        <v/>
      </c>
      <c r="E774" s="1" t="str">
        <f t="shared" si="62"/>
        <v/>
      </c>
      <c r="F774" s="17" t="str">
        <f>IF(ISBLANK(B774),"",VLOOKUP(B774,formules!E:K,7,0))</f>
        <v/>
      </c>
      <c r="G774" s="17" t="str">
        <f>IF(ISBLANK(B774),"",VLOOKUP(B774,formules!E:L,8,0))</f>
        <v/>
      </c>
      <c r="H774" s="1" t="str">
        <f t="shared" si="63"/>
        <v/>
      </c>
      <c r="I774" s="1"/>
      <c r="J774" s="1" t="str">
        <f t="shared" si="64"/>
        <v/>
      </c>
    </row>
    <row r="775" spans="1:10" x14ac:dyDescent="0.2">
      <c r="A775" s="1" t="str">
        <f t="shared" si="60"/>
        <v/>
      </c>
      <c r="B775" s="1"/>
      <c r="C775" s="15" t="str">
        <f t="shared" ca="1" si="61"/>
        <v/>
      </c>
      <c r="D775" s="1" t="str">
        <f>IF(ISBLANK(B775),"",VLOOKUP(B775,formules!E:F,2,0))</f>
        <v/>
      </c>
      <c r="E775" s="1" t="str">
        <f t="shared" si="62"/>
        <v/>
      </c>
      <c r="F775" s="17" t="str">
        <f>IF(ISBLANK(B775),"",VLOOKUP(B775,formules!E:K,7,0))</f>
        <v/>
      </c>
      <c r="G775" s="17" t="str">
        <f>IF(ISBLANK(B775),"",VLOOKUP(B775,formules!E:L,8,0))</f>
        <v/>
      </c>
      <c r="H775" s="1" t="str">
        <f t="shared" si="63"/>
        <v/>
      </c>
      <c r="I775" s="1"/>
      <c r="J775" s="1" t="str">
        <f t="shared" si="64"/>
        <v/>
      </c>
    </row>
    <row r="776" spans="1:10" x14ac:dyDescent="0.2">
      <c r="A776" s="1" t="str">
        <f t="shared" si="60"/>
        <v/>
      </c>
      <c r="B776" s="1"/>
      <c r="C776" s="15" t="str">
        <f t="shared" ca="1" si="61"/>
        <v/>
      </c>
      <c r="D776" s="1" t="str">
        <f>IF(ISBLANK(B776),"",VLOOKUP(B776,formules!E:F,2,0))</f>
        <v/>
      </c>
      <c r="E776" s="1" t="str">
        <f t="shared" si="62"/>
        <v/>
      </c>
      <c r="F776" s="17" t="str">
        <f>IF(ISBLANK(B776),"",VLOOKUP(B776,formules!E:K,7,0))</f>
        <v/>
      </c>
      <c r="G776" s="17" t="str">
        <f>IF(ISBLANK(B776),"",VLOOKUP(B776,formules!E:L,8,0))</f>
        <v/>
      </c>
      <c r="H776" s="1" t="str">
        <f t="shared" si="63"/>
        <v/>
      </c>
      <c r="I776" s="1"/>
      <c r="J776" s="1" t="str">
        <f t="shared" si="64"/>
        <v/>
      </c>
    </row>
    <row r="777" spans="1:10" x14ac:dyDescent="0.2">
      <c r="A777" s="1" t="str">
        <f t="shared" si="60"/>
        <v/>
      </c>
      <c r="B777" s="1"/>
      <c r="C777" s="15" t="str">
        <f t="shared" ca="1" si="61"/>
        <v/>
      </c>
      <c r="D777" s="1" t="str">
        <f>IF(ISBLANK(B777),"",VLOOKUP(B777,formules!E:F,2,0))</f>
        <v/>
      </c>
      <c r="E777" s="1" t="str">
        <f t="shared" si="62"/>
        <v/>
      </c>
      <c r="F777" s="17" t="str">
        <f>IF(ISBLANK(B777),"",VLOOKUP(B777,formules!E:K,7,0))</f>
        <v/>
      </c>
      <c r="G777" s="17" t="str">
        <f>IF(ISBLANK(B777),"",VLOOKUP(B777,formules!E:L,8,0))</f>
        <v/>
      </c>
      <c r="H777" s="1" t="str">
        <f t="shared" si="63"/>
        <v/>
      </c>
      <c r="I777" s="1"/>
      <c r="J777" s="1" t="str">
        <f t="shared" si="64"/>
        <v/>
      </c>
    </row>
    <row r="778" spans="1:10" x14ac:dyDescent="0.2">
      <c r="A778" s="1" t="str">
        <f t="shared" si="60"/>
        <v/>
      </c>
      <c r="B778" s="1"/>
      <c r="C778" s="15" t="str">
        <f t="shared" ca="1" si="61"/>
        <v/>
      </c>
      <c r="D778" s="1" t="str">
        <f>IF(ISBLANK(B778),"",VLOOKUP(B778,formules!E:F,2,0))</f>
        <v/>
      </c>
      <c r="E778" s="1" t="str">
        <f t="shared" si="62"/>
        <v/>
      </c>
      <c r="F778" s="17" t="str">
        <f>IF(ISBLANK(B778),"",VLOOKUP(B778,formules!E:K,7,0))</f>
        <v/>
      </c>
      <c r="G778" s="17" t="str">
        <f>IF(ISBLANK(B778),"",VLOOKUP(B778,formules!E:L,8,0))</f>
        <v/>
      </c>
      <c r="H778" s="1" t="str">
        <f t="shared" si="63"/>
        <v/>
      </c>
      <c r="I778" s="1"/>
      <c r="J778" s="1" t="str">
        <f t="shared" si="64"/>
        <v/>
      </c>
    </row>
    <row r="779" spans="1:10" x14ac:dyDescent="0.2">
      <c r="A779" s="1" t="str">
        <f t="shared" si="60"/>
        <v/>
      </c>
      <c r="B779" s="1"/>
      <c r="C779" s="15" t="str">
        <f t="shared" ca="1" si="61"/>
        <v/>
      </c>
      <c r="D779" s="1" t="str">
        <f>IF(ISBLANK(B779),"",VLOOKUP(B779,formules!E:F,2,0))</f>
        <v/>
      </c>
      <c r="E779" s="1" t="str">
        <f t="shared" si="62"/>
        <v/>
      </c>
      <c r="F779" s="17" t="str">
        <f>IF(ISBLANK(B779),"",VLOOKUP(B779,formules!E:K,7,0))</f>
        <v/>
      </c>
      <c r="G779" s="17" t="str">
        <f>IF(ISBLANK(B779),"",VLOOKUP(B779,formules!E:L,8,0))</f>
        <v/>
      </c>
      <c r="H779" s="1" t="str">
        <f t="shared" si="63"/>
        <v/>
      </c>
      <c r="I779" s="1"/>
      <c r="J779" s="1" t="str">
        <f t="shared" si="64"/>
        <v/>
      </c>
    </row>
    <row r="780" spans="1:10" x14ac:dyDescent="0.2">
      <c r="A780" s="1" t="str">
        <f t="shared" si="60"/>
        <v/>
      </c>
      <c r="B780" s="1"/>
      <c r="C780" s="15" t="str">
        <f t="shared" ca="1" si="61"/>
        <v/>
      </c>
      <c r="D780" s="1" t="str">
        <f>IF(ISBLANK(B780),"",VLOOKUP(B780,formules!E:F,2,0))</f>
        <v/>
      </c>
      <c r="E780" s="1" t="str">
        <f t="shared" si="62"/>
        <v/>
      </c>
      <c r="F780" s="17" t="str">
        <f>IF(ISBLANK(B780),"",VLOOKUP(B780,formules!E:K,7,0))</f>
        <v/>
      </c>
      <c r="G780" s="17" t="str">
        <f>IF(ISBLANK(B780),"",VLOOKUP(B780,formules!E:L,8,0))</f>
        <v/>
      </c>
      <c r="H780" s="1" t="str">
        <f t="shared" si="63"/>
        <v/>
      </c>
      <c r="I780" s="1"/>
      <c r="J780" s="1" t="str">
        <f t="shared" si="64"/>
        <v/>
      </c>
    </row>
    <row r="781" spans="1:10" x14ac:dyDescent="0.2">
      <c r="A781" s="1" t="str">
        <f t="shared" si="60"/>
        <v/>
      </c>
      <c r="B781" s="1"/>
      <c r="C781" s="15" t="str">
        <f t="shared" ca="1" si="61"/>
        <v/>
      </c>
      <c r="D781" s="1" t="str">
        <f>IF(ISBLANK(B781),"",VLOOKUP(B781,formules!E:F,2,0))</f>
        <v/>
      </c>
      <c r="E781" s="1" t="str">
        <f t="shared" si="62"/>
        <v/>
      </c>
      <c r="F781" s="17" t="str">
        <f>IF(ISBLANK(B781),"",VLOOKUP(B781,formules!E:K,7,0))</f>
        <v/>
      </c>
      <c r="G781" s="17" t="str">
        <f>IF(ISBLANK(B781),"",VLOOKUP(B781,formules!E:L,8,0))</f>
        <v/>
      </c>
      <c r="H781" s="1" t="str">
        <f t="shared" si="63"/>
        <v/>
      </c>
      <c r="I781" s="1"/>
      <c r="J781" s="1" t="str">
        <f t="shared" si="64"/>
        <v/>
      </c>
    </row>
    <row r="782" spans="1:10" x14ac:dyDescent="0.2">
      <c r="A782" s="1" t="str">
        <f t="shared" si="60"/>
        <v/>
      </c>
      <c r="B782" s="1"/>
      <c r="C782" s="15" t="str">
        <f t="shared" ca="1" si="61"/>
        <v/>
      </c>
      <c r="D782" s="1" t="str">
        <f>IF(ISBLANK(B782),"",VLOOKUP(B782,formules!E:F,2,0))</f>
        <v/>
      </c>
      <c r="E782" s="1" t="str">
        <f t="shared" si="62"/>
        <v/>
      </c>
      <c r="F782" s="17" t="str">
        <f>IF(ISBLANK(B782),"",VLOOKUP(B782,formules!E:K,7,0))</f>
        <v/>
      </c>
      <c r="G782" s="17" t="str">
        <f>IF(ISBLANK(B782),"",VLOOKUP(B782,formules!E:L,8,0))</f>
        <v/>
      </c>
      <c r="H782" s="1" t="str">
        <f t="shared" si="63"/>
        <v/>
      </c>
      <c r="I782" s="1"/>
      <c r="J782" s="1" t="str">
        <f t="shared" si="64"/>
        <v/>
      </c>
    </row>
    <row r="783" spans="1:10" x14ac:dyDescent="0.2">
      <c r="A783" s="1" t="str">
        <f t="shared" si="60"/>
        <v/>
      </c>
      <c r="B783" s="1"/>
      <c r="C783" s="15" t="str">
        <f t="shared" ca="1" si="61"/>
        <v/>
      </c>
      <c r="D783" s="1" t="str">
        <f>IF(ISBLANK(B783),"",VLOOKUP(B783,formules!E:F,2,0))</f>
        <v/>
      </c>
      <c r="E783" s="1" t="str">
        <f t="shared" si="62"/>
        <v/>
      </c>
      <c r="F783" s="17" t="str">
        <f>IF(ISBLANK(B783),"",VLOOKUP(B783,formules!E:K,7,0))</f>
        <v/>
      </c>
      <c r="G783" s="17" t="str">
        <f>IF(ISBLANK(B783),"",VLOOKUP(B783,formules!E:L,8,0))</f>
        <v/>
      </c>
      <c r="H783" s="1" t="str">
        <f t="shared" si="63"/>
        <v/>
      </c>
      <c r="I783" s="1"/>
      <c r="J783" s="1" t="str">
        <f t="shared" si="64"/>
        <v/>
      </c>
    </row>
    <row r="784" spans="1:10" x14ac:dyDescent="0.2">
      <c r="A784" s="1" t="str">
        <f t="shared" si="60"/>
        <v/>
      </c>
      <c r="B784" s="1"/>
      <c r="C784" s="15" t="str">
        <f t="shared" ca="1" si="61"/>
        <v/>
      </c>
      <c r="D784" s="1" t="str">
        <f>IF(ISBLANK(B784),"",VLOOKUP(B784,formules!E:F,2,0))</f>
        <v/>
      </c>
      <c r="E784" s="1" t="str">
        <f t="shared" si="62"/>
        <v/>
      </c>
      <c r="F784" s="17" t="str">
        <f>IF(ISBLANK(B784),"",VLOOKUP(B784,formules!E:K,7,0))</f>
        <v/>
      </c>
      <c r="G784" s="17" t="str">
        <f>IF(ISBLANK(B784),"",VLOOKUP(B784,formules!E:L,8,0))</f>
        <v/>
      </c>
      <c r="H784" s="1" t="str">
        <f t="shared" si="63"/>
        <v/>
      </c>
      <c r="I784" s="1"/>
      <c r="J784" s="1" t="str">
        <f t="shared" si="64"/>
        <v/>
      </c>
    </row>
    <row r="785" spans="1:10" x14ac:dyDescent="0.2">
      <c r="A785" s="1" t="str">
        <f t="shared" si="60"/>
        <v/>
      </c>
      <c r="B785" s="1"/>
      <c r="C785" s="15" t="str">
        <f t="shared" ca="1" si="61"/>
        <v/>
      </c>
      <c r="D785" s="1" t="str">
        <f>IF(ISBLANK(B785),"",VLOOKUP(B785,formules!E:F,2,0))</f>
        <v/>
      </c>
      <c r="E785" s="1" t="str">
        <f t="shared" si="62"/>
        <v/>
      </c>
      <c r="F785" s="17" t="str">
        <f>IF(ISBLANK(B785),"",VLOOKUP(B785,formules!E:K,7,0))</f>
        <v/>
      </c>
      <c r="G785" s="17" t="str">
        <f>IF(ISBLANK(B785),"",VLOOKUP(B785,formules!E:L,8,0))</f>
        <v/>
      </c>
      <c r="H785" s="1" t="str">
        <f t="shared" si="63"/>
        <v/>
      </c>
      <c r="I785" s="1"/>
      <c r="J785" s="1" t="str">
        <f t="shared" si="64"/>
        <v/>
      </c>
    </row>
    <row r="786" spans="1:10" x14ac:dyDescent="0.2">
      <c r="A786" s="1" t="str">
        <f t="shared" si="60"/>
        <v/>
      </c>
      <c r="B786" s="1"/>
      <c r="C786" s="15" t="str">
        <f t="shared" ca="1" si="61"/>
        <v/>
      </c>
      <c r="D786" s="1" t="str">
        <f>IF(ISBLANK(B786),"",VLOOKUP(B786,formules!E:F,2,0))</f>
        <v/>
      </c>
      <c r="E786" s="1" t="str">
        <f t="shared" si="62"/>
        <v/>
      </c>
      <c r="F786" s="17" t="str">
        <f>IF(ISBLANK(B786),"",VLOOKUP(B786,formules!E:K,7,0))</f>
        <v/>
      </c>
      <c r="G786" s="17" t="str">
        <f>IF(ISBLANK(B786),"",VLOOKUP(B786,formules!E:L,8,0))</f>
        <v/>
      </c>
      <c r="H786" s="1" t="str">
        <f t="shared" si="63"/>
        <v/>
      </c>
      <c r="I786" s="1"/>
      <c r="J786" s="1" t="str">
        <f t="shared" si="64"/>
        <v/>
      </c>
    </row>
    <row r="787" spans="1:10" x14ac:dyDescent="0.2">
      <c r="A787" s="1" t="str">
        <f t="shared" si="60"/>
        <v/>
      </c>
      <c r="B787" s="1"/>
      <c r="C787" s="15" t="str">
        <f t="shared" ca="1" si="61"/>
        <v/>
      </c>
      <c r="D787" s="1" t="str">
        <f>IF(ISBLANK(B787),"",VLOOKUP(B787,formules!E:F,2,0))</f>
        <v/>
      </c>
      <c r="E787" s="1" t="str">
        <f t="shared" si="62"/>
        <v/>
      </c>
      <c r="F787" s="17" t="str">
        <f>IF(ISBLANK(B787),"",VLOOKUP(B787,formules!E:K,7,0))</f>
        <v/>
      </c>
      <c r="G787" s="17" t="str">
        <f>IF(ISBLANK(B787),"",VLOOKUP(B787,formules!E:L,8,0))</f>
        <v/>
      </c>
      <c r="H787" s="1" t="str">
        <f t="shared" si="63"/>
        <v/>
      </c>
      <c r="I787" s="1"/>
      <c r="J787" s="1" t="str">
        <f t="shared" si="64"/>
        <v/>
      </c>
    </row>
    <row r="788" spans="1:10" x14ac:dyDescent="0.2">
      <c r="A788" s="1" t="str">
        <f t="shared" si="60"/>
        <v/>
      </c>
      <c r="B788" s="1"/>
      <c r="C788" s="15" t="str">
        <f t="shared" ca="1" si="61"/>
        <v/>
      </c>
      <c r="D788" s="1" t="str">
        <f>IF(ISBLANK(B788),"",VLOOKUP(B788,formules!E:F,2,0))</f>
        <v/>
      </c>
      <c r="E788" s="1" t="str">
        <f t="shared" si="62"/>
        <v/>
      </c>
      <c r="F788" s="17" t="str">
        <f>IF(ISBLANK(B788),"",VLOOKUP(B788,formules!E:K,7,0))</f>
        <v/>
      </c>
      <c r="G788" s="17" t="str">
        <f>IF(ISBLANK(B788),"",VLOOKUP(B788,formules!E:L,8,0))</f>
        <v/>
      </c>
      <c r="H788" s="1" t="str">
        <f t="shared" si="63"/>
        <v/>
      </c>
      <c r="I788" s="1"/>
      <c r="J788" s="1" t="str">
        <f t="shared" si="64"/>
        <v/>
      </c>
    </row>
    <row r="789" spans="1:10" x14ac:dyDescent="0.2">
      <c r="A789" s="1" t="str">
        <f t="shared" si="60"/>
        <v/>
      </c>
      <c r="B789" s="1"/>
      <c r="C789" s="15" t="str">
        <f t="shared" ca="1" si="61"/>
        <v/>
      </c>
      <c r="D789" s="1" t="str">
        <f>IF(ISBLANK(B789),"",VLOOKUP(B789,formules!E:F,2,0))</f>
        <v/>
      </c>
      <c r="E789" s="1" t="str">
        <f t="shared" si="62"/>
        <v/>
      </c>
      <c r="F789" s="17" t="str">
        <f>IF(ISBLANK(B789),"",VLOOKUP(B789,formules!E:K,7,0))</f>
        <v/>
      </c>
      <c r="G789" s="17" t="str">
        <f>IF(ISBLANK(B789),"",VLOOKUP(B789,formules!E:L,8,0))</f>
        <v/>
      </c>
      <c r="H789" s="1" t="str">
        <f t="shared" si="63"/>
        <v/>
      </c>
      <c r="I789" s="1"/>
      <c r="J789" s="1" t="str">
        <f t="shared" si="64"/>
        <v/>
      </c>
    </row>
    <row r="790" spans="1:10" x14ac:dyDescent="0.2">
      <c r="A790" s="1" t="str">
        <f t="shared" si="60"/>
        <v/>
      </c>
      <c r="B790" s="1"/>
      <c r="C790" s="15" t="str">
        <f t="shared" ca="1" si="61"/>
        <v/>
      </c>
      <c r="D790" s="1" t="str">
        <f>IF(ISBLANK(B790),"",VLOOKUP(B790,formules!E:F,2,0))</f>
        <v/>
      </c>
      <c r="E790" s="1" t="str">
        <f t="shared" si="62"/>
        <v/>
      </c>
      <c r="F790" s="17" t="str">
        <f>IF(ISBLANK(B790),"",VLOOKUP(B790,formules!E:K,7,0))</f>
        <v/>
      </c>
      <c r="G790" s="17" t="str">
        <f>IF(ISBLANK(B790),"",VLOOKUP(B790,formules!E:L,8,0))</f>
        <v/>
      </c>
      <c r="H790" s="1" t="str">
        <f t="shared" si="63"/>
        <v/>
      </c>
      <c r="I790" s="1"/>
      <c r="J790" s="1" t="str">
        <f t="shared" si="64"/>
        <v/>
      </c>
    </row>
    <row r="791" spans="1:10" x14ac:dyDescent="0.2">
      <c r="A791" s="1" t="str">
        <f t="shared" si="60"/>
        <v/>
      </c>
      <c r="B791" s="1"/>
      <c r="C791" s="15" t="str">
        <f t="shared" ca="1" si="61"/>
        <v/>
      </c>
      <c r="D791" s="1" t="str">
        <f>IF(ISBLANK(B791),"",VLOOKUP(B791,formules!E:F,2,0))</f>
        <v/>
      </c>
      <c r="E791" s="1" t="str">
        <f t="shared" si="62"/>
        <v/>
      </c>
      <c r="F791" s="17" t="str">
        <f>IF(ISBLANK(B791),"",VLOOKUP(B791,formules!E:K,7,0))</f>
        <v/>
      </c>
      <c r="G791" s="17" t="str">
        <f>IF(ISBLANK(B791),"",VLOOKUP(B791,formules!E:L,8,0))</f>
        <v/>
      </c>
      <c r="H791" s="1" t="str">
        <f t="shared" si="63"/>
        <v/>
      </c>
      <c r="I791" s="1"/>
      <c r="J791" s="1" t="str">
        <f t="shared" si="64"/>
        <v/>
      </c>
    </row>
    <row r="792" spans="1:10" x14ac:dyDescent="0.2">
      <c r="A792" s="1" t="str">
        <f t="shared" si="60"/>
        <v/>
      </c>
      <c r="B792" s="1"/>
      <c r="C792" s="15" t="str">
        <f t="shared" ca="1" si="61"/>
        <v/>
      </c>
      <c r="D792" s="1" t="str">
        <f>IF(ISBLANK(B792),"",VLOOKUP(B792,formules!E:F,2,0))</f>
        <v/>
      </c>
      <c r="E792" s="1" t="str">
        <f t="shared" si="62"/>
        <v/>
      </c>
      <c r="F792" s="17" t="str">
        <f>IF(ISBLANK(B792),"",VLOOKUP(B792,formules!E:K,7,0))</f>
        <v/>
      </c>
      <c r="G792" s="17" t="str">
        <f>IF(ISBLANK(B792),"",VLOOKUP(B792,formules!E:L,8,0))</f>
        <v/>
      </c>
      <c r="H792" s="1" t="str">
        <f t="shared" si="63"/>
        <v/>
      </c>
      <c r="I792" s="1"/>
      <c r="J792" s="1" t="str">
        <f t="shared" si="64"/>
        <v/>
      </c>
    </row>
    <row r="793" spans="1:10" x14ac:dyDescent="0.2">
      <c r="A793" s="1" t="str">
        <f t="shared" si="60"/>
        <v/>
      </c>
      <c r="B793" s="1"/>
      <c r="C793" s="15" t="str">
        <f t="shared" ca="1" si="61"/>
        <v/>
      </c>
      <c r="D793" s="1" t="str">
        <f>IF(ISBLANK(B793),"",VLOOKUP(B793,formules!E:F,2,0))</f>
        <v/>
      </c>
      <c r="E793" s="1" t="str">
        <f t="shared" si="62"/>
        <v/>
      </c>
      <c r="F793" s="17" t="str">
        <f>IF(ISBLANK(B793),"",VLOOKUP(B793,formules!E:K,7,0))</f>
        <v/>
      </c>
      <c r="G793" s="17" t="str">
        <f>IF(ISBLANK(B793),"",VLOOKUP(B793,formules!E:L,8,0))</f>
        <v/>
      </c>
      <c r="H793" s="1" t="str">
        <f t="shared" si="63"/>
        <v/>
      </c>
      <c r="I793" s="1"/>
      <c r="J793" s="1" t="str">
        <f t="shared" si="64"/>
        <v/>
      </c>
    </row>
    <row r="794" spans="1:10" x14ac:dyDescent="0.2">
      <c r="A794" s="1" t="str">
        <f t="shared" si="60"/>
        <v/>
      </c>
      <c r="B794" s="1"/>
      <c r="C794" s="15" t="str">
        <f t="shared" ca="1" si="61"/>
        <v/>
      </c>
      <c r="D794" s="1" t="str">
        <f>IF(ISBLANK(B794),"",VLOOKUP(B794,formules!E:F,2,0))</f>
        <v/>
      </c>
      <c r="E794" s="1" t="str">
        <f t="shared" si="62"/>
        <v/>
      </c>
      <c r="F794" s="17" t="str">
        <f>IF(ISBLANK(B794),"",VLOOKUP(B794,formules!E:K,7,0))</f>
        <v/>
      </c>
      <c r="G794" s="17" t="str">
        <f>IF(ISBLANK(B794),"",VLOOKUP(B794,formules!E:L,8,0))</f>
        <v/>
      </c>
      <c r="H794" s="1" t="str">
        <f t="shared" si="63"/>
        <v/>
      </c>
      <c r="I794" s="1"/>
      <c r="J794" s="1" t="str">
        <f t="shared" si="64"/>
        <v/>
      </c>
    </row>
    <row r="795" spans="1:10" x14ac:dyDescent="0.2">
      <c r="A795" s="1" t="str">
        <f t="shared" si="60"/>
        <v/>
      </c>
      <c r="B795" s="1"/>
      <c r="C795" s="15" t="str">
        <f t="shared" ca="1" si="61"/>
        <v/>
      </c>
      <c r="D795" s="1" t="str">
        <f>IF(ISBLANK(B795),"",VLOOKUP(B795,formules!E:F,2,0))</f>
        <v/>
      </c>
      <c r="E795" s="1" t="str">
        <f t="shared" si="62"/>
        <v/>
      </c>
      <c r="F795" s="17" t="str">
        <f>IF(ISBLANK(B795),"",VLOOKUP(B795,formules!E:K,7,0))</f>
        <v/>
      </c>
      <c r="G795" s="17" t="str">
        <f>IF(ISBLANK(B795),"",VLOOKUP(B795,formules!E:L,8,0))</f>
        <v/>
      </c>
      <c r="H795" s="1" t="str">
        <f t="shared" si="63"/>
        <v/>
      </c>
      <c r="I795" s="1"/>
      <c r="J795" s="1" t="str">
        <f t="shared" si="64"/>
        <v/>
      </c>
    </row>
    <row r="796" spans="1:10" x14ac:dyDescent="0.2">
      <c r="A796" s="1" t="str">
        <f t="shared" si="60"/>
        <v/>
      </c>
      <c r="B796" s="1"/>
      <c r="C796" s="15" t="str">
        <f t="shared" ca="1" si="61"/>
        <v/>
      </c>
      <c r="D796" s="1" t="str">
        <f>IF(ISBLANK(B796),"",VLOOKUP(B796,formules!E:F,2,0))</f>
        <v/>
      </c>
      <c r="E796" s="1" t="str">
        <f t="shared" si="62"/>
        <v/>
      </c>
      <c r="F796" s="17" t="str">
        <f>IF(ISBLANK(B796),"",VLOOKUP(B796,formules!E:K,7,0))</f>
        <v/>
      </c>
      <c r="G796" s="17" t="str">
        <f>IF(ISBLANK(B796),"",VLOOKUP(B796,formules!E:L,8,0))</f>
        <v/>
      </c>
      <c r="H796" s="1" t="str">
        <f t="shared" si="63"/>
        <v/>
      </c>
      <c r="I796" s="1"/>
      <c r="J796" s="1" t="str">
        <f t="shared" si="64"/>
        <v/>
      </c>
    </row>
    <row r="797" spans="1:10" x14ac:dyDescent="0.2">
      <c r="A797" s="1" t="str">
        <f t="shared" si="60"/>
        <v/>
      </c>
      <c r="B797" s="1"/>
      <c r="C797" s="15" t="str">
        <f t="shared" ca="1" si="61"/>
        <v/>
      </c>
      <c r="D797" s="1" t="str">
        <f>IF(ISBLANK(B797),"",VLOOKUP(B797,formules!E:F,2,0))</f>
        <v/>
      </c>
      <c r="E797" s="1" t="str">
        <f t="shared" si="62"/>
        <v/>
      </c>
      <c r="F797" s="17" t="str">
        <f>IF(ISBLANK(B797),"",VLOOKUP(B797,formules!E:K,7,0))</f>
        <v/>
      </c>
      <c r="G797" s="17" t="str">
        <f>IF(ISBLANK(B797),"",VLOOKUP(B797,formules!E:L,8,0))</f>
        <v/>
      </c>
      <c r="H797" s="1" t="str">
        <f t="shared" si="63"/>
        <v/>
      </c>
      <c r="I797" s="1"/>
      <c r="J797" s="1" t="str">
        <f t="shared" si="64"/>
        <v/>
      </c>
    </row>
    <row r="798" spans="1:10" x14ac:dyDescent="0.2">
      <c r="A798" s="1" t="str">
        <f t="shared" si="60"/>
        <v/>
      </c>
      <c r="B798" s="1"/>
      <c r="C798" s="15" t="str">
        <f t="shared" ca="1" si="61"/>
        <v/>
      </c>
      <c r="D798" s="1" t="str">
        <f>IF(ISBLANK(B798),"",VLOOKUP(B798,formules!E:F,2,0))</f>
        <v/>
      </c>
      <c r="E798" s="1" t="str">
        <f t="shared" si="62"/>
        <v/>
      </c>
      <c r="F798" s="17" t="str">
        <f>IF(ISBLANK(B798),"",VLOOKUP(B798,formules!E:K,7,0))</f>
        <v/>
      </c>
      <c r="G798" s="17" t="str">
        <f>IF(ISBLANK(B798),"",VLOOKUP(B798,formules!E:L,8,0))</f>
        <v/>
      </c>
      <c r="H798" s="1" t="str">
        <f t="shared" si="63"/>
        <v/>
      </c>
      <c r="I798" s="1"/>
      <c r="J798" s="1" t="str">
        <f t="shared" si="64"/>
        <v/>
      </c>
    </row>
    <row r="799" spans="1:10" x14ac:dyDescent="0.2">
      <c r="A799" s="1" t="str">
        <f t="shared" si="60"/>
        <v/>
      </c>
      <c r="B799" s="1"/>
      <c r="C799" s="15" t="str">
        <f t="shared" ca="1" si="61"/>
        <v/>
      </c>
      <c r="D799" s="1" t="str">
        <f>IF(ISBLANK(B799),"",VLOOKUP(B799,formules!E:F,2,0))</f>
        <v/>
      </c>
      <c r="E799" s="1" t="str">
        <f t="shared" si="62"/>
        <v/>
      </c>
      <c r="F799" s="17" t="str">
        <f>IF(ISBLANK(B799),"",VLOOKUP(B799,formules!E:K,7,0))</f>
        <v/>
      </c>
      <c r="G799" s="17" t="str">
        <f>IF(ISBLANK(B799),"",VLOOKUP(B799,formules!E:L,8,0))</f>
        <v/>
      </c>
      <c r="H799" s="1" t="str">
        <f t="shared" si="63"/>
        <v/>
      </c>
      <c r="I799" s="1"/>
      <c r="J799" s="1" t="str">
        <f t="shared" si="64"/>
        <v/>
      </c>
    </row>
    <row r="800" spans="1:10" x14ac:dyDescent="0.2">
      <c r="A800" s="1" t="str">
        <f t="shared" si="60"/>
        <v/>
      </c>
      <c r="B800" s="1"/>
      <c r="C800" s="15" t="str">
        <f t="shared" ca="1" si="61"/>
        <v/>
      </c>
      <c r="D800" s="1" t="str">
        <f>IF(ISBLANK(B800),"",VLOOKUP(B800,formules!E:F,2,0))</f>
        <v/>
      </c>
      <c r="E800" s="1" t="str">
        <f t="shared" si="62"/>
        <v/>
      </c>
      <c r="F800" s="17" t="str">
        <f>IF(ISBLANK(B800),"",VLOOKUP(B800,formules!E:K,7,0))</f>
        <v/>
      </c>
      <c r="G800" s="17" t="str">
        <f>IF(ISBLANK(B800),"",VLOOKUP(B800,formules!E:L,8,0))</f>
        <v/>
      </c>
      <c r="H800" s="1" t="str">
        <f t="shared" si="63"/>
        <v/>
      </c>
      <c r="I800" s="1"/>
      <c r="J800" s="1" t="str">
        <f t="shared" si="64"/>
        <v/>
      </c>
    </row>
    <row r="801" spans="1:10" x14ac:dyDescent="0.2">
      <c r="A801" s="1" t="str">
        <f t="shared" si="60"/>
        <v/>
      </c>
      <c r="B801" s="1"/>
      <c r="C801" s="15" t="str">
        <f t="shared" ca="1" si="61"/>
        <v/>
      </c>
      <c r="D801" s="1" t="str">
        <f>IF(ISBLANK(B801),"",VLOOKUP(B801,formules!E:F,2,0))</f>
        <v/>
      </c>
      <c r="E801" s="1" t="str">
        <f t="shared" si="62"/>
        <v/>
      </c>
      <c r="F801" s="17" t="str">
        <f>IF(ISBLANK(B801),"",VLOOKUP(B801,formules!E:K,7,0))</f>
        <v/>
      </c>
      <c r="G801" s="17" t="str">
        <f>IF(ISBLANK(B801),"",VLOOKUP(B801,formules!E:L,8,0))</f>
        <v/>
      </c>
      <c r="H801" s="1" t="str">
        <f t="shared" si="63"/>
        <v/>
      </c>
      <c r="I801" s="1"/>
      <c r="J801" s="1" t="str">
        <f t="shared" si="64"/>
        <v/>
      </c>
    </row>
    <row r="802" spans="1:10" x14ac:dyDescent="0.2">
      <c r="A802" s="1" t="str">
        <f t="shared" si="60"/>
        <v/>
      </c>
      <c r="B802" s="1"/>
      <c r="C802" s="15" t="str">
        <f t="shared" ca="1" si="61"/>
        <v/>
      </c>
      <c r="D802" s="1" t="str">
        <f>IF(ISBLANK(B802),"",VLOOKUP(B802,formules!E:F,2,0))</f>
        <v/>
      </c>
      <c r="E802" s="1" t="str">
        <f t="shared" si="62"/>
        <v/>
      </c>
      <c r="F802" s="17" t="str">
        <f>IF(ISBLANK(B802),"",VLOOKUP(B802,formules!E:K,7,0))</f>
        <v/>
      </c>
      <c r="G802" s="17" t="str">
        <f>IF(ISBLANK(B802),"",VLOOKUP(B802,formules!E:L,8,0))</f>
        <v/>
      </c>
      <c r="H802" s="1" t="str">
        <f t="shared" si="63"/>
        <v/>
      </c>
      <c r="I802" s="1"/>
      <c r="J802" s="1" t="str">
        <f t="shared" si="64"/>
        <v/>
      </c>
    </row>
    <row r="803" spans="1:10" x14ac:dyDescent="0.2">
      <c r="A803" s="1" t="str">
        <f t="shared" si="60"/>
        <v/>
      </c>
      <c r="B803" s="1"/>
      <c r="C803" s="15" t="str">
        <f t="shared" ca="1" si="61"/>
        <v/>
      </c>
      <c r="D803" s="1" t="str">
        <f>IF(ISBLANK(B803),"",VLOOKUP(B803,formules!E:F,2,0))</f>
        <v/>
      </c>
      <c r="E803" s="1" t="str">
        <f t="shared" si="62"/>
        <v/>
      </c>
      <c r="F803" s="17" t="str">
        <f>IF(ISBLANK(B803),"",VLOOKUP(B803,formules!E:K,7,0))</f>
        <v/>
      </c>
      <c r="G803" s="17" t="str">
        <f>IF(ISBLANK(B803),"",VLOOKUP(B803,formules!E:L,8,0))</f>
        <v/>
      </c>
      <c r="H803" s="1" t="str">
        <f t="shared" si="63"/>
        <v/>
      </c>
      <c r="I803" s="1"/>
      <c r="J803" s="1" t="str">
        <f t="shared" si="64"/>
        <v/>
      </c>
    </row>
    <row r="804" spans="1:10" x14ac:dyDescent="0.2">
      <c r="A804" s="1" t="str">
        <f t="shared" si="60"/>
        <v/>
      </c>
      <c r="B804" s="1"/>
      <c r="C804" s="15" t="str">
        <f t="shared" ca="1" si="61"/>
        <v/>
      </c>
      <c r="D804" s="1" t="str">
        <f>IF(ISBLANK(B804),"",VLOOKUP(B804,formules!E:F,2,0))</f>
        <v/>
      </c>
      <c r="E804" s="1" t="str">
        <f t="shared" si="62"/>
        <v/>
      </c>
      <c r="F804" s="17" t="str">
        <f>IF(ISBLANK(B804),"",VLOOKUP(B804,formules!E:K,7,0))</f>
        <v/>
      </c>
      <c r="G804" s="17" t="str">
        <f>IF(ISBLANK(B804),"",VLOOKUP(B804,formules!E:L,8,0))</f>
        <v/>
      </c>
      <c r="H804" s="1" t="str">
        <f t="shared" si="63"/>
        <v/>
      </c>
      <c r="I804" s="1"/>
      <c r="J804" s="1" t="str">
        <f t="shared" si="64"/>
        <v/>
      </c>
    </row>
    <row r="805" spans="1:10" x14ac:dyDescent="0.2">
      <c r="A805" s="1" t="str">
        <f t="shared" si="60"/>
        <v/>
      </c>
      <c r="B805" s="1"/>
      <c r="C805" s="15" t="str">
        <f t="shared" ca="1" si="61"/>
        <v/>
      </c>
      <c r="D805" s="1" t="str">
        <f>IF(ISBLANK(B805),"",VLOOKUP(B805,formules!E:F,2,0))</f>
        <v/>
      </c>
      <c r="E805" s="1" t="str">
        <f t="shared" si="62"/>
        <v/>
      </c>
      <c r="F805" s="17" t="str">
        <f>IF(ISBLANK(B805),"",VLOOKUP(B805,formules!E:K,7,0))</f>
        <v/>
      </c>
      <c r="G805" s="17" t="str">
        <f>IF(ISBLANK(B805),"",VLOOKUP(B805,formules!E:L,8,0))</f>
        <v/>
      </c>
      <c r="H805" s="1" t="str">
        <f t="shared" si="63"/>
        <v/>
      </c>
      <c r="I805" s="1"/>
      <c r="J805" s="1" t="str">
        <f t="shared" si="64"/>
        <v/>
      </c>
    </row>
    <row r="806" spans="1:10" x14ac:dyDescent="0.2">
      <c r="A806" s="1" t="str">
        <f t="shared" si="60"/>
        <v/>
      </c>
      <c r="B806" s="1"/>
      <c r="C806" s="15" t="str">
        <f t="shared" ca="1" si="61"/>
        <v/>
      </c>
      <c r="D806" s="1" t="str">
        <f>IF(ISBLANK(B806),"",VLOOKUP(B806,formules!E:F,2,0))</f>
        <v/>
      </c>
      <c r="E806" s="1" t="str">
        <f t="shared" si="62"/>
        <v/>
      </c>
      <c r="F806" s="17" t="str">
        <f>IF(ISBLANK(B806),"",VLOOKUP(B806,formules!E:K,7,0))</f>
        <v/>
      </c>
      <c r="G806" s="17" t="str">
        <f>IF(ISBLANK(B806),"",VLOOKUP(B806,formules!E:L,8,0))</f>
        <v/>
      </c>
      <c r="H806" s="1" t="str">
        <f t="shared" si="63"/>
        <v/>
      </c>
      <c r="I806" s="1"/>
      <c r="J806" s="1" t="str">
        <f t="shared" si="64"/>
        <v/>
      </c>
    </row>
    <row r="807" spans="1:10" x14ac:dyDescent="0.2">
      <c r="A807" s="1" t="str">
        <f t="shared" si="60"/>
        <v/>
      </c>
      <c r="B807" s="1"/>
      <c r="C807" s="15" t="str">
        <f t="shared" ca="1" si="61"/>
        <v/>
      </c>
      <c r="D807" s="1" t="str">
        <f>IF(ISBLANK(B807),"",VLOOKUP(B807,formules!E:F,2,0))</f>
        <v/>
      </c>
      <c r="E807" s="1" t="str">
        <f t="shared" si="62"/>
        <v/>
      </c>
      <c r="F807" s="17" t="str">
        <f>IF(ISBLANK(B807),"",VLOOKUP(B807,formules!E:K,7,0))</f>
        <v/>
      </c>
      <c r="G807" s="17" t="str">
        <f>IF(ISBLANK(B807),"",VLOOKUP(B807,formules!E:L,8,0))</f>
        <v/>
      </c>
      <c r="H807" s="1" t="str">
        <f t="shared" si="63"/>
        <v/>
      </c>
      <c r="I807" s="1"/>
      <c r="J807" s="1" t="str">
        <f t="shared" si="64"/>
        <v/>
      </c>
    </row>
    <row r="808" spans="1:10" x14ac:dyDescent="0.2">
      <c r="A808" s="1" t="str">
        <f t="shared" si="60"/>
        <v/>
      </c>
      <c r="B808" s="1"/>
      <c r="C808" s="15" t="str">
        <f t="shared" ca="1" si="61"/>
        <v/>
      </c>
      <c r="D808" s="1" t="str">
        <f>IF(ISBLANK(B808),"",VLOOKUP(B808,formules!E:F,2,0))</f>
        <v/>
      </c>
      <c r="E808" s="1" t="str">
        <f t="shared" si="62"/>
        <v/>
      </c>
      <c r="F808" s="17" t="str">
        <f>IF(ISBLANK(B808),"",VLOOKUP(B808,formules!E:K,7,0))</f>
        <v/>
      </c>
      <c r="G808" s="17" t="str">
        <f>IF(ISBLANK(B808),"",VLOOKUP(B808,formules!E:L,8,0))</f>
        <v/>
      </c>
      <c r="H808" s="1" t="str">
        <f t="shared" si="63"/>
        <v/>
      </c>
      <c r="I808" s="1"/>
      <c r="J808" s="1" t="str">
        <f t="shared" si="64"/>
        <v/>
      </c>
    </row>
    <row r="809" spans="1:10" x14ac:dyDescent="0.2">
      <c r="A809" s="1" t="str">
        <f t="shared" si="60"/>
        <v/>
      </c>
      <c r="B809" s="1"/>
      <c r="C809" s="15" t="str">
        <f t="shared" ca="1" si="61"/>
        <v/>
      </c>
      <c r="D809" s="1" t="str">
        <f>IF(ISBLANK(B809),"",VLOOKUP(B809,formules!E:F,2,0))</f>
        <v/>
      </c>
      <c r="E809" s="1" t="str">
        <f t="shared" si="62"/>
        <v/>
      </c>
      <c r="F809" s="17" t="str">
        <f>IF(ISBLANK(B809),"",VLOOKUP(B809,formules!E:K,7,0))</f>
        <v/>
      </c>
      <c r="G809" s="17" t="str">
        <f>IF(ISBLANK(B809),"",VLOOKUP(B809,formules!E:L,8,0))</f>
        <v/>
      </c>
      <c r="H809" s="1" t="str">
        <f t="shared" si="63"/>
        <v/>
      </c>
      <c r="I809" s="1"/>
      <c r="J809" s="1" t="str">
        <f t="shared" si="64"/>
        <v/>
      </c>
    </row>
    <row r="810" spans="1:10" x14ac:dyDescent="0.2">
      <c r="A810" s="1" t="str">
        <f t="shared" si="60"/>
        <v/>
      </c>
      <c r="B810" s="1"/>
      <c r="C810" s="15" t="str">
        <f t="shared" ca="1" si="61"/>
        <v/>
      </c>
      <c r="D810" s="1" t="str">
        <f>IF(ISBLANK(B810),"",VLOOKUP(B810,formules!E:F,2,0))</f>
        <v/>
      </c>
      <c r="E810" s="1" t="str">
        <f t="shared" si="62"/>
        <v/>
      </c>
      <c r="F810" s="17" t="str">
        <f>IF(ISBLANK(B810),"",VLOOKUP(B810,formules!E:K,7,0))</f>
        <v/>
      </c>
      <c r="G810" s="17" t="str">
        <f>IF(ISBLANK(B810),"",VLOOKUP(B810,formules!E:L,8,0))</f>
        <v/>
      </c>
      <c r="H810" s="1" t="str">
        <f t="shared" si="63"/>
        <v/>
      </c>
      <c r="I810" s="1"/>
      <c r="J810" s="1" t="str">
        <f t="shared" si="64"/>
        <v/>
      </c>
    </row>
    <row r="811" spans="1:10" x14ac:dyDescent="0.2">
      <c r="A811" s="1" t="str">
        <f t="shared" si="60"/>
        <v/>
      </c>
      <c r="B811" s="1"/>
      <c r="C811" s="15" t="str">
        <f t="shared" ca="1" si="61"/>
        <v/>
      </c>
      <c r="D811" s="1" t="str">
        <f>IF(ISBLANK(B811),"",VLOOKUP(B811,formules!E:F,2,0))</f>
        <v/>
      </c>
      <c r="E811" s="1" t="str">
        <f t="shared" si="62"/>
        <v/>
      </c>
      <c r="F811" s="17" t="str">
        <f>IF(ISBLANK(B811),"",VLOOKUP(B811,formules!E:K,7,0))</f>
        <v/>
      </c>
      <c r="G811" s="17" t="str">
        <f>IF(ISBLANK(B811),"",VLOOKUP(B811,formules!E:L,8,0))</f>
        <v/>
      </c>
      <c r="H811" s="1" t="str">
        <f t="shared" si="63"/>
        <v/>
      </c>
      <c r="I811" s="1"/>
      <c r="J811" s="1" t="str">
        <f t="shared" si="64"/>
        <v/>
      </c>
    </row>
    <row r="812" spans="1:10" x14ac:dyDescent="0.2">
      <c r="A812" s="1" t="str">
        <f t="shared" si="60"/>
        <v/>
      </c>
      <c r="B812" s="1"/>
      <c r="C812" s="15" t="str">
        <f t="shared" ca="1" si="61"/>
        <v/>
      </c>
      <c r="D812" s="1" t="str">
        <f>IF(ISBLANK(B812),"",VLOOKUP(B812,formules!E:F,2,0))</f>
        <v/>
      </c>
      <c r="E812" s="1" t="str">
        <f t="shared" si="62"/>
        <v/>
      </c>
      <c r="F812" s="17" t="str">
        <f>IF(ISBLANK(B812),"",VLOOKUP(B812,formules!E:K,7,0))</f>
        <v/>
      </c>
      <c r="G812" s="17" t="str">
        <f>IF(ISBLANK(B812),"",VLOOKUP(B812,formules!E:L,8,0))</f>
        <v/>
      </c>
      <c r="H812" s="1" t="str">
        <f t="shared" si="63"/>
        <v/>
      </c>
      <c r="I812" s="1"/>
      <c r="J812" s="1" t="str">
        <f t="shared" si="64"/>
        <v/>
      </c>
    </row>
    <row r="813" spans="1:10" x14ac:dyDescent="0.2">
      <c r="A813" s="1" t="str">
        <f t="shared" si="60"/>
        <v/>
      </c>
      <c r="B813" s="1"/>
      <c r="C813" s="15" t="str">
        <f t="shared" ca="1" si="61"/>
        <v/>
      </c>
      <c r="D813" s="1" t="str">
        <f>IF(ISBLANK(B813),"",VLOOKUP(B813,formules!E:F,2,0))</f>
        <v/>
      </c>
      <c r="E813" s="1" t="str">
        <f t="shared" si="62"/>
        <v/>
      </c>
      <c r="F813" s="17" t="str">
        <f>IF(ISBLANK(B813),"",VLOOKUP(B813,formules!E:K,7,0))</f>
        <v/>
      </c>
      <c r="G813" s="17" t="str">
        <f>IF(ISBLANK(B813),"",VLOOKUP(B813,formules!E:L,8,0))</f>
        <v/>
      </c>
      <c r="H813" s="1" t="str">
        <f t="shared" si="63"/>
        <v/>
      </c>
      <c r="I813" s="1"/>
      <c r="J813" s="1" t="str">
        <f t="shared" si="64"/>
        <v/>
      </c>
    </row>
    <row r="814" spans="1:10" x14ac:dyDescent="0.2">
      <c r="A814" s="1" t="str">
        <f t="shared" si="60"/>
        <v/>
      </c>
      <c r="B814" s="1"/>
      <c r="C814" s="15" t="str">
        <f t="shared" ca="1" si="61"/>
        <v/>
      </c>
      <c r="D814" s="1" t="str">
        <f>IF(ISBLANK(B814),"",VLOOKUP(B814,formules!E:F,2,0))</f>
        <v/>
      </c>
      <c r="E814" s="1" t="str">
        <f t="shared" si="62"/>
        <v/>
      </c>
      <c r="F814" s="17" t="str">
        <f>IF(ISBLANK(B814),"",VLOOKUP(B814,formules!E:K,7,0))</f>
        <v/>
      </c>
      <c r="G814" s="17" t="str">
        <f>IF(ISBLANK(B814),"",VLOOKUP(B814,formules!E:L,8,0))</f>
        <v/>
      </c>
      <c r="H814" s="1" t="str">
        <f t="shared" si="63"/>
        <v/>
      </c>
      <c r="I814" s="1"/>
      <c r="J814" s="1" t="str">
        <f t="shared" si="64"/>
        <v/>
      </c>
    </row>
    <row r="815" spans="1:10" x14ac:dyDescent="0.2">
      <c r="A815" s="1" t="str">
        <f t="shared" si="60"/>
        <v/>
      </c>
      <c r="B815" s="1"/>
      <c r="C815" s="15" t="str">
        <f t="shared" ca="1" si="61"/>
        <v/>
      </c>
      <c r="D815" s="1" t="str">
        <f>IF(ISBLANK(B815),"",VLOOKUP(B815,formules!E:F,2,0))</f>
        <v/>
      </c>
      <c r="E815" s="1" t="str">
        <f t="shared" si="62"/>
        <v/>
      </c>
      <c r="F815" s="17" t="str">
        <f>IF(ISBLANK(B815),"",VLOOKUP(B815,formules!E:K,7,0))</f>
        <v/>
      </c>
      <c r="G815" s="17" t="str">
        <f>IF(ISBLANK(B815),"",VLOOKUP(B815,formules!E:L,8,0))</f>
        <v/>
      </c>
      <c r="H815" s="1" t="str">
        <f t="shared" si="63"/>
        <v/>
      </c>
      <c r="I815" s="1"/>
      <c r="J815" s="1" t="str">
        <f t="shared" si="64"/>
        <v/>
      </c>
    </row>
    <row r="816" spans="1:10" x14ac:dyDescent="0.2">
      <c r="A816" s="1" t="str">
        <f t="shared" si="60"/>
        <v/>
      </c>
      <c r="B816" s="1"/>
      <c r="C816" s="15" t="str">
        <f t="shared" ca="1" si="61"/>
        <v/>
      </c>
      <c r="D816" s="1" t="str">
        <f>IF(ISBLANK(B816),"",VLOOKUP(B816,formules!E:F,2,0))</f>
        <v/>
      </c>
      <c r="E816" s="1" t="str">
        <f t="shared" si="62"/>
        <v/>
      </c>
      <c r="F816" s="17" t="str">
        <f>IF(ISBLANK(B816),"",VLOOKUP(B816,formules!E:K,7,0))</f>
        <v/>
      </c>
      <c r="G816" s="17" t="str">
        <f>IF(ISBLANK(B816),"",VLOOKUP(B816,formules!E:L,8,0))</f>
        <v/>
      </c>
      <c r="H816" s="1" t="str">
        <f t="shared" si="63"/>
        <v/>
      </c>
      <c r="I816" s="1"/>
      <c r="J816" s="1" t="str">
        <f t="shared" si="64"/>
        <v/>
      </c>
    </row>
    <row r="817" spans="1:10" x14ac:dyDescent="0.2">
      <c r="A817" s="1" t="str">
        <f t="shared" si="60"/>
        <v/>
      </c>
      <c r="B817" s="1"/>
      <c r="C817" s="15" t="str">
        <f t="shared" ca="1" si="61"/>
        <v/>
      </c>
      <c r="D817" s="1" t="str">
        <f>IF(ISBLANK(B817),"",VLOOKUP(B817,formules!E:F,2,0))</f>
        <v/>
      </c>
      <c r="E817" s="1" t="str">
        <f t="shared" si="62"/>
        <v/>
      </c>
      <c r="F817" s="17" t="str">
        <f>IF(ISBLANK(B817),"",VLOOKUP(B817,formules!E:K,7,0))</f>
        <v/>
      </c>
      <c r="G817" s="17" t="str">
        <f>IF(ISBLANK(B817),"",VLOOKUP(B817,formules!E:L,8,0))</f>
        <v/>
      </c>
      <c r="H817" s="1" t="str">
        <f t="shared" si="63"/>
        <v/>
      </c>
      <c r="I817" s="1"/>
      <c r="J817" s="1" t="str">
        <f t="shared" si="64"/>
        <v/>
      </c>
    </row>
    <row r="818" spans="1:10" x14ac:dyDescent="0.2">
      <c r="A818" s="1" t="str">
        <f t="shared" si="60"/>
        <v/>
      </c>
      <c r="B818" s="1"/>
      <c r="C818" s="15" t="str">
        <f t="shared" ca="1" si="61"/>
        <v/>
      </c>
      <c r="D818" s="1" t="str">
        <f>IF(ISBLANK(B818),"",VLOOKUP(B818,formules!E:F,2,0))</f>
        <v/>
      </c>
      <c r="E818" s="1" t="str">
        <f t="shared" si="62"/>
        <v/>
      </c>
      <c r="F818" s="17" t="str">
        <f>IF(ISBLANK(B818),"",VLOOKUP(B818,formules!E:K,7,0))</f>
        <v/>
      </c>
      <c r="G818" s="17" t="str">
        <f>IF(ISBLANK(B818),"",VLOOKUP(B818,formules!E:L,8,0))</f>
        <v/>
      </c>
      <c r="H818" s="1" t="str">
        <f t="shared" si="63"/>
        <v/>
      </c>
      <c r="I818" s="1"/>
      <c r="J818" s="1" t="str">
        <f t="shared" si="64"/>
        <v/>
      </c>
    </row>
    <row r="819" spans="1:10" x14ac:dyDescent="0.2">
      <c r="A819" s="1" t="str">
        <f t="shared" si="60"/>
        <v/>
      </c>
      <c r="B819" s="1"/>
      <c r="C819" s="15" t="str">
        <f t="shared" ca="1" si="61"/>
        <v/>
      </c>
      <c r="D819" s="1" t="str">
        <f>IF(ISBLANK(B819),"",VLOOKUP(B819,formules!E:F,2,0))</f>
        <v/>
      </c>
      <c r="E819" s="1" t="str">
        <f t="shared" si="62"/>
        <v/>
      </c>
      <c r="F819" s="17" t="str">
        <f>IF(ISBLANK(B819),"",VLOOKUP(B819,formules!E:K,7,0))</f>
        <v/>
      </c>
      <c r="G819" s="17" t="str">
        <f>IF(ISBLANK(B819),"",VLOOKUP(B819,formules!E:L,8,0))</f>
        <v/>
      </c>
      <c r="H819" s="1" t="str">
        <f t="shared" si="63"/>
        <v/>
      </c>
      <c r="I819" s="1"/>
      <c r="J819" s="1" t="str">
        <f t="shared" si="64"/>
        <v/>
      </c>
    </row>
    <row r="820" spans="1:10" x14ac:dyDescent="0.2">
      <c r="A820" s="1" t="str">
        <f t="shared" si="60"/>
        <v/>
      </c>
      <c r="B820" s="1"/>
      <c r="C820" s="15" t="str">
        <f t="shared" ca="1" si="61"/>
        <v/>
      </c>
      <c r="D820" s="1" t="str">
        <f>IF(ISBLANK(B820),"",VLOOKUP(B820,formules!E:F,2,0))</f>
        <v/>
      </c>
      <c r="E820" s="1" t="str">
        <f t="shared" si="62"/>
        <v/>
      </c>
      <c r="F820" s="17" t="str">
        <f>IF(ISBLANK(B820),"",VLOOKUP(B820,formules!E:K,7,0))</f>
        <v/>
      </c>
      <c r="G820" s="17" t="str">
        <f>IF(ISBLANK(B820),"",VLOOKUP(B820,formules!E:L,8,0))</f>
        <v/>
      </c>
      <c r="H820" s="1" t="str">
        <f t="shared" si="63"/>
        <v/>
      </c>
      <c r="I820" s="1"/>
      <c r="J820" s="1" t="str">
        <f t="shared" si="64"/>
        <v/>
      </c>
    </row>
    <row r="821" spans="1:10" x14ac:dyDescent="0.2">
      <c r="A821" s="1" t="str">
        <f t="shared" si="60"/>
        <v/>
      </c>
      <c r="B821" s="1"/>
      <c r="C821" s="15" t="str">
        <f t="shared" ca="1" si="61"/>
        <v/>
      </c>
      <c r="D821" s="1" t="str">
        <f>IF(ISBLANK(B821),"",VLOOKUP(B821,formules!E:F,2,0))</f>
        <v/>
      </c>
      <c r="E821" s="1" t="str">
        <f t="shared" si="62"/>
        <v/>
      </c>
      <c r="F821" s="17" t="str">
        <f>IF(ISBLANK(B821),"",VLOOKUP(B821,formules!E:K,7,0))</f>
        <v/>
      </c>
      <c r="G821" s="17" t="str">
        <f>IF(ISBLANK(B821),"",VLOOKUP(B821,formules!E:L,8,0))</f>
        <v/>
      </c>
      <c r="H821" s="1" t="str">
        <f t="shared" si="63"/>
        <v/>
      </c>
      <c r="I821" s="1"/>
      <c r="J821" s="1" t="str">
        <f t="shared" si="64"/>
        <v/>
      </c>
    </row>
    <row r="822" spans="1:10" x14ac:dyDescent="0.2">
      <c r="A822" s="1" t="str">
        <f t="shared" si="60"/>
        <v/>
      </c>
      <c r="B822" s="1"/>
      <c r="C822" s="15" t="str">
        <f t="shared" ca="1" si="61"/>
        <v/>
      </c>
      <c r="D822" s="1" t="str">
        <f>IF(ISBLANK(B822),"",VLOOKUP(B822,formules!E:F,2,0))</f>
        <v/>
      </c>
      <c r="E822" s="1" t="str">
        <f t="shared" si="62"/>
        <v/>
      </c>
      <c r="F822" s="17" t="str">
        <f>IF(ISBLANK(B822),"",VLOOKUP(B822,formules!E:K,7,0))</f>
        <v/>
      </c>
      <c r="G822" s="17" t="str">
        <f>IF(ISBLANK(B822),"",VLOOKUP(B822,formules!E:L,8,0))</f>
        <v/>
      </c>
      <c r="H822" s="1" t="str">
        <f t="shared" si="63"/>
        <v/>
      </c>
      <c r="I822" s="1"/>
      <c r="J822" s="1" t="str">
        <f t="shared" si="64"/>
        <v/>
      </c>
    </row>
    <row r="823" spans="1:10" x14ac:dyDescent="0.2">
      <c r="A823" s="1" t="str">
        <f t="shared" si="60"/>
        <v/>
      </c>
      <c r="B823" s="1"/>
      <c r="C823" s="15" t="str">
        <f t="shared" ca="1" si="61"/>
        <v/>
      </c>
      <c r="D823" s="1" t="str">
        <f>IF(ISBLANK(B823),"",VLOOKUP(B823,formules!E:F,2,0))</f>
        <v/>
      </c>
      <c r="E823" s="1" t="str">
        <f t="shared" si="62"/>
        <v/>
      </c>
      <c r="F823" s="17" t="str">
        <f>IF(ISBLANK(B823),"",VLOOKUP(B823,formules!E:K,7,0))</f>
        <v/>
      </c>
      <c r="G823" s="17" t="str">
        <f>IF(ISBLANK(B823),"",VLOOKUP(B823,formules!E:L,8,0))</f>
        <v/>
      </c>
      <c r="H823" s="1" t="str">
        <f t="shared" si="63"/>
        <v/>
      </c>
      <c r="I823" s="1"/>
      <c r="J823" s="1" t="str">
        <f t="shared" si="64"/>
        <v/>
      </c>
    </row>
    <row r="824" spans="1:10" x14ac:dyDescent="0.2">
      <c r="A824" s="1" t="str">
        <f t="shared" si="60"/>
        <v/>
      </c>
      <c r="B824" s="1"/>
      <c r="C824" s="15" t="str">
        <f t="shared" ca="1" si="61"/>
        <v/>
      </c>
      <c r="D824" s="1" t="str">
        <f>IF(ISBLANK(B824),"",VLOOKUP(B824,formules!E:F,2,0))</f>
        <v/>
      </c>
      <c r="E824" s="1" t="str">
        <f t="shared" si="62"/>
        <v/>
      </c>
      <c r="F824" s="17" t="str">
        <f>IF(ISBLANK(B824),"",VLOOKUP(B824,formules!E:K,7,0))</f>
        <v/>
      </c>
      <c r="G824" s="17" t="str">
        <f>IF(ISBLANK(B824),"",VLOOKUP(B824,formules!E:L,8,0))</f>
        <v/>
      </c>
      <c r="H824" s="1" t="str">
        <f t="shared" si="63"/>
        <v/>
      </c>
      <c r="I824" s="1"/>
      <c r="J824" s="1" t="str">
        <f t="shared" si="64"/>
        <v/>
      </c>
    </row>
    <row r="825" spans="1:10" x14ac:dyDescent="0.2">
      <c r="A825" s="1" t="str">
        <f t="shared" si="60"/>
        <v/>
      </c>
      <c r="B825" s="1"/>
      <c r="C825" s="15" t="str">
        <f t="shared" ca="1" si="61"/>
        <v/>
      </c>
      <c r="D825" s="1" t="str">
        <f>IF(ISBLANK(B825),"",VLOOKUP(B825,formules!E:F,2,0))</f>
        <v/>
      </c>
      <c r="E825" s="1" t="str">
        <f t="shared" si="62"/>
        <v/>
      </c>
      <c r="F825" s="17" t="str">
        <f>IF(ISBLANK(B825),"",VLOOKUP(B825,formules!E:K,7,0))</f>
        <v/>
      </c>
      <c r="G825" s="17" t="str">
        <f>IF(ISBLANK(B825),"",VLOOKUP(B825,formules!E:L,8,0))</f>
        <v/>
      </c>
      <c r="H825" s="1" t="str">
        <f t="shared" si="63"/>
        <v/>
      </c>
      <c r="I825" s="1"/>
      <c r="J825" s="1" t="str">
        <f t="shared" si="64"/>
        <v/>
      </c>
    </row>
    <row r="826" spans="1:10" x14ac:dyDescent="0.2">
      <c r="A826" s="1" t="str">
        <f t="shared" si="60"/>
        <v/>
      </c>
      <c r="B826" s="1"/>
      <c r="C826" s="15" t="str">
        <f t="shared" ca="1" si="61"/>
        <v/>
      </c>
      <c r="D826" s="1" t="str">
        <f>IF(ISBLANK(B826),"",VLOOKUP(B826,formules!E:F,2,0))</f>
        <v/>
      </c>
      <c r="E826" s="1" t="str">
        <f t="shared" si="62"/>
        <v/>
      </c>
      <c r="F826" s="17" t="str">
        <f>IF(ISBLANK(B826),"",VLOOKUP(B826,formules!E:K,7,0))</f>
        <v/>
      </c>
      <c r="G826" s="17" t="str">
        <f>IF(ISBLANK(B826),"",VLOOKUP(B826,formules!E:L,8,0))</f>
        <v/>
      </c>
      <c r="H826" s="1" t="str">
        <f t="shared" si="63"/>
        <v/>
      </c>
      <c r="I826" s="1"/>
      <c r="J826" s="1" t="str">
        <f t="shared" si="64"/>
        <v/>
      </c>
    </row>
    <row r="827" spans="1:10" x14ac:dyDescent="0.2">
      <c r="A827" s="1" t="str">
        <f t="shared" si="60"/>
        <v/>
      </c>
      <c r="B827" s="1"/>
      <c r="C827" s="15" t="str">
        <f t="shared" ca="1" si="61"/>
        <v/>
      </c>
      <c r="D827" s="1" t="str">
        <f>IF(ISBLANK(B827),"",VLOOKUP(B827,formules!E:F,2,0))</f>
        <v/>
      </c>
      <c r="E827" s="1" t="str">
        <f t="shared" si="62"/>
        <v/>
      </c>
      <c r="F827" s="17" t="str">
        <f>IF(ISBLANK(B827),"",VLOOKUP(B827,formules!E:K,7,0))</f>
        <v/>
      </c>
      <c r="G827" s="17" t="str">
        <f>IF(ISBLANK(B827),"",VLOOKUP(B827,formules!E:L,8,0))</f>
        <v/>
      </c>
      <c r="H827" s="1" t="str">
        <f t="shared" si="63"/>
        <v/>
      </c>
      <c r="I827" s="1"/>
      <c r="J827" s="1" t="str">
        <f t="shared" si="64"/>
        <v/>
      </c>
    </row>
    <row r="828" spans="1:10" x14ac:dyDescent="0.2">
      <c r="A828" s="1" t="str">
        <f t="shared" si="60"/>
        <v/>
      </c>
      <c r="B828" s="1"/>
      <c r="C828" s="15" t="str">
        <f t="shared" ca="1" si="61"/>
        <v/>
      </c>
      <c r="D828" s="1" t="str">
        <f>IF(ISBLANK(B828),"",VLOOKUP(B828,formules!E:F,2,0))</f>
        <v/>
      </c>
      <c r="E828" s="1" t="str">
        <f t="shared" si="62"/>
        <v/>
      </c>
      <c r="F828" s="17" t="str">
        <f>IF(ISBLANK(B828),"",VLOOKUP(B828,formules!E:K,7,0))</f>
        <v/>
      </c>
      <c r="G828" s="17" t="str">
        <f>IF(ISBLANK(B828),"",VLOOKUP(B828,formules!E:L,8,0))</f>
        <v/>
      </c>
      <c r="H828" s="1" t="str">
        <f t="shared" si="63"/>
        <v/>
      </c>
      <c r="I828" s="1"/>
      <c r="J828" s="1" t="str">
        <f t="shared" si="64"/>
        <v/>
      </c>
    </row>
    <row r="829" spans="1:10" x14ac:dyDescent="0.2">
      <c r="A829" s="1" t="str">
        <f t="shared" si="60"/>
        <v/>
      </c>
      <c r="B829" s="1"/>
      <c r="C829" s="15" t="str">
        <f t="shared" ca="1" si="61"/>
        <v/>
      </c>
      <c r="D829" s="1" t="str">
        <f>IF(ISBLANK(B829),"",VLOOKUP(B829,formules!E:F,2,0))</f>
        <v/>
      </c>
      <c r="E829" s="1" t="str">
        <f t="shared" si="62"/>
        <v/>
      </c>
      <c r="F829" s="17" t="str">
        <f>IF(ISBLANK(B829),"",VLOOKUP(B829,formules!E:K,7,0))</f>
        <v/>
      </c>
      <c r="G829" s="17" t="str">
        <f>IF(ISBLANK(B829),"",VLOOKUP(B829,formules!E:L,8,0))</f>
        <v/>
      </c>
      <c r="H829" s="1" t="str">
        <f t="shared" si="63"/>
        <v/>
      </c>
      <c r="I829" s="1"/>
      <c r="J829" s="1" t="str">
        <f t="shared" si="64"/>
        <v/>
      </c>
    </row>
    <row r="830" spans="1:10" x14ac:dyDescent="0.2">
      <c r="A830" s="1" t="str">
        <f t="shared" si="60"/>
        <v/>
      </c>
      <c r="B830" s="1"/>
      <c r="C830" s="15" t="str">
        <f t="shared" ca="1" si="61"/>
        <v/>
      </c>
      <c r="D830" s="1" t="str">
        <f>IF(ISBLANK(B830),"",VLOOKUP(B830,formules!E:F,2,0))</f>
        <v/>
      </c>
      <c r="E830" s="1" t="str">
        <f t="shared" si="62"/>
        <v/>
      </c>
      <c r="F830" s="17" t="str">
        <f>IF(ISBLANK(B830),"",VLOOKUP(B830,formules!E:K,7,0))</f>
        <v/>
      </c>
      <c r="G830" s="17" t="str">
        <f>IF(ISBLANK(B830),"",VLOOKUP(B830,formules!E:L,8,0))</f>
        <v/>
      </c>
      <c r="H830" s="1" t="str">
        <f t="shared" si="63"/>
        <v/>
      </c>
      <c r="I830" s="1"/>
      <c r="J830" s="1" t="str">
        <f t="shared" si="64"/>
        <v/>
      </c>
    </row>
    <row r="831" spans="1:10" x14ac:dyDescent="0.2">
      <c r="A831" s="1" t="str">
        <f t="shared" si="60"/>
        <v/>
      </c>
      <c r="B831" s="1"/>
      <c r="C831" s="15" t="str">
        <f t="shared" ca="1" si="61"/>
        <v/>
      </c>
      <c r="D831" s="1" t="str">
        <f>IF(ISBLANK(B831),"",VLOOKUP(B831,formules!E:F,2,0))</f>
        <v/>
      </c>
      <c r="E831" s="1" t="str">
        <f t="shared" si="62"/>
        <v/>
      </c>
      <c r="F831" s="17" t="str">
        <f>IF(ISBLANK(B831),"",VLOOKUP(B831,formules!E:K,7,0))</f>
        <v/>
      </c>
      <c r="G831" s="17" t="str">
        <f>IF(ISBLANK(B831),"",VLOOKUP(B831,formules!E:L,8,0))</f>
        <v/>
      </c>
      <c r="H831" s="1" t="str">
        <f t="shared" si="63"/>
        <v/>
      </c>
      <c r="I831" s="1"/>
      <c r="J831" s="1" t="str">
        <f t="shared" si="64"/>
        <v/>
      </c>
    </row>
    <row r="832" spans="1:10" x14ac:dyDescent="0.2">
      <c r="A832" s="1" t="str">
        <f t="shared" si="60"/>
        <v/>
      </c>
      <c r="B832" s="1"/>
      <c r="C832" s="15" t="str">
        <f t="shared" ca="1" si="61"/>
        <v/>
      </c>
      <c r="D832" s="1" t="str">
        <f>IF(ISBLANK(B832),"",VLOOKUP(B832,formules!E:F,2,0))</f>
        <v/>
      </c>
      <c r="E832" s="1" t="str">
        <f t="shared" si="62"/>
        <v/>
      </c>
      <c r="F832" s="17" t="str">
        <f>IF(ISBLANK(B832),"",VLOOKUP(B832,formules!E:K,7,0))</f>
        <v/>
      </c>
      <c r="G832" s="17" t="str">
        <f>IF(ISBLANK(B832),"",VLOOKUP(B832,formules!E:L,8,0))</f>
        <v/>
      </c>
      <c r="H832" s="1" t="str">
        <f t="shared" si="63"/>
        <v/>
      </c>
      <c r="I832" s="1"/>
      <c r="J832" s="1" t="str">
        <f t="shared" si="64"/>
        <v/>
      </c>
    </row>
    <row r="833" spans="1:10" x14ac:dyDescent="0.2">
      <c r="A833" s="1" t="str">
        <f t="shared" si="60"/>
        <v/>
      </c>
      <c r="B833" s="1"/>
      <c r="C833" s="15" t="str">
        <f t="shared" ca="1" si="61"/>
        <v/>
      </c>
      <c r="D833" s="1" t="str">
        <f>IF(ISBLANK(B833),"",VLOOKUP(B833,formules!E:F,2,0))</f>
        <v/>
      </c>
      <c r="E833" s="1" t="str">
        <f t="shared" si="62"/>
        <v/>
      </c>
      <c r="F833" s="17" t="str">
        <f>IF(ISBLANK(B833),"",VLOOKUP(B833,formules!E:K,7,0))</f>
        <v/>
      </c>
      <c r="G833" s="17" t="str">
        <f>IF(ISBLANK(B833),"",VLOOKUP(B833,formules!E:L,8,0))</f>
        <v/>
      </c>
      <c r="H833" s="1" t="str">
        <f t="shared" si="63"/>
        <v/>
      </c>
      <c r="I833" s="1"/>
      <c r="J833" s="1" t="str">
        <f t="shared" si="64"/>
        <v/>
      </c>
    </row>
    <row r="834" spans="1:10" x14ac:dyDescent="0.2">
      <c r="A834" s="1" t="str">
        <f t="shared" si="60"/>
        <v/>
      </c>
      <c r="B834" s="1"/>
      <c r="C834" s="15" t="str">
        <f t="shared" ca="1" si="61"/>
        <v/>
      </c>
      <c r="D834" s="1" t="str">
        <f>IF(ISBLANK(B834),"",VLOOKUP(B834,formules!E:F,2,0))</f>
        <v/>
      </c>
      <c r="E834" s="1" t="str">
        <f t="shared" si="62"/>
        <v/>
      </c>
      <c r="F834" s="17" t="str">
        <f>IF(ISBLANK(B834),"",VLOOKUP(B834,formules!E:K,7,0))</f>
        <v/>
      </c>
      <c r="G834" s="17" t="str">
        <f>IF(ISBLANK(B834),"",VLOOKUP(B834,formules!E:L,8,0))</f>
        <v/>
      </c>
      <c r="H834" s="1" t="str">
        <f t="shared" si="63"/>
        <v/>
      </c>
      <c r="I834" s="1"/>
      <c r="J834" s="1" t="str">
        <f t="shared" si="64"/>
        <v/>
      </c>
    </row>
    <row r="835" spans="1:10" x14ac:dyDescent="0.2">
      <c r="A835" s="1" t="str">
        <f t="shared" ref="A835:A898" si="65">IF(ISBLANK(B835),"","variation")</f>
        <v/>
      </c>
      <c r="B835" s="1"/>
      <c r="C835" s="15" t="str">
        <f t="shared" ref="C835:C898" ca="1" si="66">IF(ISBLANK(B835),"",RANDBETWEEN(1111111111111,9999999999999))</f>
        <v/>
      </c>
      <c r="D835" s="1" t="str">
        <f>IF(ISBLANK(B835),"",VLOOKUP(B835,formules!E:F,2,0))</f>
        <v/>
      </c>
      <c r="E835" s="1" t="str">
        <f t="shared" ref="E835:E898" si="67">IF(ISBLANK(B835),"",1)</f>
        <v/>
      </c>
      <c r="F835" s="17" t="str">
        <f>IF(ISBLANK(B835),"",VLOOKUP(B835,formules!E:K,7,0))</f>
        <v/>
      </c>
      <c r="G835" s="17" t="str">
        <f>IF(ISBLANK(B835),"",VLOOKUP(B835,formules!E:L,8,0))</f>
        <v/>
      </c>
      <c r="H835" s="1" t="str">
        <f t="shared" ref="H835:H898" si="68">IF(ISBLANK(B835),"","Size")</f>
        <v/>
      </c>
      <c r="I835" s="1"/>
      <c r="J835" s="1" t="str">
        <f t="shared" ref="J835:J898" si="69">IF(ISBLANK(B835),"",1)</f>
        <v/>
      </c>
    </row>
    <row r="836" spans="1:10" x14ac:dyDescent="0.2">
      <c r="A836" s="1" t="str">
        <f t="shared" si="65"/>
        <v/>
      </c>
      <c r="B836" s="1"/>
      <c r="C836" s="15" t="str">
        <f t="shared" ca="1" si="66"/>
        <v/>
      </c>
      <c r="D836" s="1" t="str">
        <f>IF(ISBLANK(B836),"",VLOOKUP(B836,formules!E:F,2,0))</f>
        <v/>
      </c>
      <c r="E836" s="1" t="str">
        <f t="shared" si="67"/>
        <v/>
      </c>
      <c r="F836" s="17" t="str">
        <f>IF(ISBLANK(B836),"",VLOOKUP(B836,formules!E:K,7,0))</f>
        <v/>
      </c>
      <c r="G836" s="17" t="str">
        <f>IF(ISBLANK(B836),"",VLOOKUP(B836,formules!E:L,8,0))</f>
        <v/>
      </c>
      <c r="H836" s="1" t="str">
        <f t="shared" si="68"/>
        <v/>
      </c>
      <c r="I836" s="1"/>
      <c r="J836" s="1" t="str">
        <f t="shared" si="69"/>
        <v/>
      </c>
    </row>
    <row r="837" spans="1:10" x14ac:dyDescent="0.2">
      <c r="A837" s="1" t="str">
        <f t="shared" si="65"/>
        <v/>
      </c>
      <c r="B837" s="1"/>
      <c r="C837" s="15" t="str">
        <f t="shared" ca="1" si="66"/>
        <v/>
      </c>
      <c r="D837" s="1" t="str">
        <f>IF(ISBLANK(B837),"",VLOOKUP(B837,formules!E:F,2,0))</f>
        <v/>
      </c>
      <c r="E837" s="1" t="str">
        <f t="shared" si="67"/>
        <v/>
      </c>
      <c r="F837" s="17" t="str">
        <f>IF(ISBLANK(B837),"",VLOOKUP(B837,formules!E:K,7,0))</f>
        <v/>
      </c>
      <c r="G837" s="17" t="str">
        <f>IF(ISBLANK(B837),"",VLOOKUP(B837,formules!E:L,8,0))</f>
        <v/>
      </c>
      <c r="H837" s="1" t="str">
        <f t="shared" si="68"/>
        <v/>
      </c>
      <c r="I837" s="1"/>
      <c r="J837" s="1" t="str">
        <f t="shared" si="69"/>
        <v/>
      </c>
    </row>
    <row r="838" spans="1:10" x14ac:dyDescent="0.2">
      <c r="A838" s="1" t="str">
        <f t="shared" si="65"/>
        <v/>
      </c>
      <c r="B838" s="1"/>
      <c r="C838" s="15" t="str">
        <f t="shared" ca="1" si="66"/>
        <v/>
      </c>
      <c r="D838" s="1" t="str">
        <f>IF(ISBLANK(B838),"",VLOOKUP(B838,formules!E:F,2,0))</f>
        <v/>
      </c>
      <c r="E838" s="1" t="str">
        <f t="shared" si="67"/>
        <v/>
      </c>
      <c r="F838" s="17" t="str">
        <f>IF(ISBLANK(B838),"",VLOOKUP(B838,formules!E:K,7,0))</f>
        <v/>
      </c>
      <c r="G838" s="17" t="str">
        <f>IF(ISBLANK(B838),"",VLOOKUP(B838,formules!E:L,8,0))</f>
        <v/>
      </c>
      <c r="H838" s="1" t="str">
        <f t="shared" si="68"/>
        <v/>
      </c>
      <c r="I838" s="1"/>
      <c r="J838" s="1" t="str">
        <f t="shared" si="69"/>
        <v/>
      </c>
    </row>
    <row r="839" spans="1:10" x14ac:dyDescent="0.2">
      <c r="A839" s="1" t="str">
        <f t="shared" si="65"/>
        <v/>
      </c>
      <c r="B839" s="1"/>
      <c r="C839" s="15" t="str">
        <f t="shared" ca="1" si="66"/>
        <v/>
      </c>
      <c r="D839" s="1" t="str">
        <f>IF(ISBLANK(B839),"",VLOOKUP(B839,formules!E:F,2,0))</f>
        <v/>
      </c>
      <c r="E839" s="1" t="str">
        <f t="shared" si="67"/>
        <v/>
      </c>
      <c r="F839" s="17" t="str">
        <f>IF(ISBLANK(B839),"",VLOOKUP(B839,formules!E:K,7,0))</f>
        <v/>
      </c>
      <c r="G839" s="17" t="str">
        <f>IF(ISBLANK(B839),"",VLOOKUP(B839,formules!E:L,8,0))</f>
        <v/>
      </c>
      <c r="H839" s="1" t="str">
        <f t="shared" si="68"/>
        <v/>
      </c>
      <c r="I839" s="1"/>
      <c r="J839" s="1" t="str">
        <f t="shared" si="69"/>
        <v/>
      </c>
    </row>
    <row r="840" spans="1:10" x14ac:dyDescent="0.2">
      <c r="A840" s="1" t="str">
        <f t="shared" si="65"/>
        <v/>
      </c>
      <c r="B840" s="1"/>
      <c r="C840" s="15" t="str">
        <f t="shared" ca="1" si="66"/>
        <v/>
      </c>
      <c r="D840" s="1" t="str">
        <f>IF(ISBLANK(B840),"",VLOOKUP(B840,formules!E:F,2,0))</f>
        <v/>
      </c>
      <c r="E840" s="1" t="str">
        <f t="shared" si="67"/>
        <v/>
      </c>
      <c r="F840" s="17" t="str">
        <f>IF(ISBLANK(B840),"",VLOOKUP(B840,formules!E:K,7,0))</f>
        <v/>
      </c>
      <c r="G840" s="17" t="str">
        <f>IF(ISBLANK(B840),"",VLOOKUP(B840,formules!E:L,8,0))</f>
        <v/>
      </c>
      <c r="H840" s="1" t="str">
        <f t="shared" si="68"/>
        <v/>
      </c>
      <c r="I840" s="1"/>
      <c r="J840" s="1" t="str">
        <f t="shared" si="69"/>
        <v/>
      </c>
    </row>
    <row r="841" spans="1:10" x14ac:dyDescent="0.2">
      <c r="A841" s="1" t="str">
        <f t="shared" si="65"/>
        <v/>
      </c>
      <c r="B841" s="1"/>
      <c r="C841" s="15" t="str">
        <f t="shared" ca="1" si="66"/>
        <v/>
      </c>
      <c r="D841" s="1" t="str">
        <f>IF(ISBLANK(B841),"",VLOOKUP(B841,formules!E:F,2,0))</f>
        <v/>
      </c>
      <c r="E841" s="1" t="str">
        <f t="shared" si="67"/>
        <v/>
      </c>
      <c r="F841" s="17" t="str">
        <f>IF(ISBLANK(B841),"",VLOOKUP(B841,formules!E:K,7,0))</f>
        <v/>
      </c>
      <c r="G841" s="17" t="str">
        <f>IF(ISBLANK(B841),"",VLOOKUP(B841,formules!E:L,8,0))</f>
        <v/>
      </c>
      <c r="H841" s="1" t="str">
        <f t="shared" si="68"/>
        <v/>
      </c>
      <c r="I841" s="1"/>
      <c r="J841" s="1" t="str">
        <f t="shared" si="69"/>
        <v/>
      </c>
    </row>
    <row r="842" spans="1:10" x14ac:dyDescent="0.2">
      <c r="A842" s="1" t="str">
        <f t="shared" si="65"/>
        <v/>
      </c>
      <c r="B842" s="1"/>
      <c r="C842" s="15" t="str">
        <f t="shared" ca="1" si="66"/>
        <v/>
      </c>
      <c r="D842" s="1" t="str">
        <f>IF(ISBLANK(B842),"",VLOOKUP(B842,formules!E:F,2,0))</f>
        <v/>
      </c>
      <c r="E842" s="1" t="str">
        <f t="shared" si="67"/>
        <v/>
      </c>
      <c r="F842" s="17" t="str">
        <f>IF(ISBLANK(B842),"",VLOOKUP(B842,formules!E:K,7,0))</f>
        <v/>
      </c>
      <c r="G842" s="17" t="str">
        <f>IF(ISBLANK(B842),"",VLOOKUP(B842,formules!E:L,8,0))</f>
        <v/>
      </c>
      <c r="H842" s="1" t="str">
        <f t="shared" si="68"/>
        <v/>
      </c>
      <c r="I842" s="1"/>
      <c r="J842" s="1" t="str">
        <f t="shared" si="69"/>
        <v/>
      </c>
    </row>
    <row r="843" spans="1:10" x14ac:dyDescent="0.2">
      <c r="A843" s="1" t="str">
        <f t="shared" si="65"/>
        <v/>
      </c>
      <c r="B843" s="1"/>
      <c r="C843" s="15" t="str">
        <f t="shared" ca="1" si="66"/>
        <v/>
      </c>
      <c r="D843" s="1" t="str">
        <f>IF(ISBLANK(B843),"",VLOOKUP(B843,formules!E:F,2,0))</f>
        <v/>
      </c>
      <c r="E843" s="1" t="str">
        <f t="shared" si="67"/>
        <v/>
      </c>
      <c r="F843" s="17" t="str">
        <f>IF(ISBLANK(B843),"",VLOOKUP(B843,formules!E:K,7,0))</f>
        <v/>
      </c>
      <c r="G843" s="17" t="str">
        <f>IF(ISBLANK(B843),"",VLOOKUP(B843,formules!E:L,8,0))</f>
        <v/>
      </c>
      <c r="H843" s="1" t="str">
        <f t="shared" si="68"/>
        <v/>
      </c>
      <c r="I843" s="1"/>
      <c r="J843" s="1" t="str">
        <f t="shared" si="69"/>
        <v/>
      </c>
    </row>
    <row r="844" spans="1:10" x14ac:dyDescent="0.2">
      <c r="A844" s="1" t="str">
        <f t="shared" si="65"/>
        <v/>
      </c>
      <c r="B844" s="1"/>
      <c r="C844" s="15" t="str">
        <f t="shared" ca="1" si="66"/>
        <v/>
      </c>
      <c r="D844" s="1" t="str">
        <f>IF(ISBLANK(B844),"",VLOOKUP(B844,formules!E:F,2,0))</f>
        <v/>
      </c>
      <c r="E844" s="1" t="str">
        <f t="shared" si="67"/>
        <v/>
      </c>
      <c r="F844" s="17" t="str">
        <f>IF(ISBLANK(B844),"",VLOOKUP(B844,formules!E:K,7,0))</f>
        <v/>
      </c>
      <c r="G844" s="17" t="str">
        <f>IF(ISBLANK(B844),"",VLOOKUP(B844,formules!E:L,8,0))</f>
        <v/>
      </c>
      <c r="H844" s="1" t="str">
        <f t="shared" si="68"/>
        <v/>
      </c>
      <c r="I844" s="1"/>
      <c r="J844" s="1" t="str">
        <f t="shared" si="69"/>
        <v/>
      </c>
    </row>
    <row r="845" spans="1:10" x14ac:dyDescent="0.2">
      <c r="A845" s="1" t="str">
        <f t="shared" si="65"/>
        <v/>
      </c>
      <c r="B845" s="1"/>
      <c r="C845" s="15" t="str">
        <f t="shared" ca="1" si="66"/>
        <v/>
      </c>
      <c r="D845" s="1" t="str">
        <f>IF(ISBLANK(B845),"",VLOOKUP(B845,formules!E:F,2,0))</f>
        <v/>
      </c>
      <c r="E845" s="1" t="str">
        <f t="shared" si="67"/>
        <v/>
      </c>
      <c r="F845" s="17" t="str">
        <f>IF(ISBLANK(B845),"",VLOOKUP(B845,formules!E:K,7,0))</f>
        <v/>
      </c>
      <c r="G845" s="17" t="str">
        <f>IF(ISBLANK(B845),"",VLOOKUP(B845,formules!E:L,8,0))</f>
        <v/>
      </c>
      <c r="H845" s="1" t="str">
        <f t="shared" si="68"/>
        <v/>
      </c>
      <c r="I845" s="1"/>
      <c r="J845" s="1" t="str">
        <f t="shared" si="69"/>
        <v/>
      </c>
    </row>
    <row r="846" spans="1:10" x14ac:dyDescent="0.2">
      <c r="A846" s="1" t="str">
        <f t="shared" si="65"/>
        <v/>
      </c>
      <c r="B846" s="1"/>
      <c r="C846" s="15" t="str">
        <f t="shared" ca="1" si="66"/>
        <v/>
      </c>
      <c r="D846" s="1" t="str">
        <f>IF(ISBLANK(B846),"",VLOOKUP(B846,formules!E:F,2,0))</f>
        <v/>
      </c>
      <c r="E846" s="1" t="str">
        <f t="shared" si="67"/>
        <v/>
      </c>
      <c r="F846" s="17" t="str">
        <f>IF(ISBLANK(B846),"",VLOOKUP(B846,formules!E:K,7,0))</f>
        <v/>
      </c>
      <c r="G846" s="17" t="str">
        <f>IF(ISBLANK(B846),"",VLOOKUP(B846,formules!E:L,8,0))</f>
        <v/>
      </c>
      <c r="H846" s="1" t="str">
        <f t="shared" si="68"/>
        <v/>
      </c>
      <c r="I846" s="1"/>
      <c r="J846" s="1" t="str">
        <f t="shared" si="69"/>
        <v/>
      </c>
    </row>
    <row r="847" spans="1:10" x14ac:dyDescent="0.2">
      <c r="A847" s="1" t="str">
        <f t="shared" si="65"/>
        <v/>
      </c>
      <c r="B847" s="1"/>
      <c r="C847" s="15" t="str">
        <f t="shared" ca="1" si="66"/>
        <v/>
      </c>
      <c r="D847" s="1" t="str">
        <f>IF(ISBLANK(B847),"",VLOOKUP(B847,formules!E:F,2,0))</f>
        <v/>
      </c>
      <c r="E847" s="1" t="str">
        <f t="shared" si="67"/>
        <v/>
      </c>
      <c r="F847" s="17" t="str">
        <f>IF(ISBLANK(B847),"",VLOOKUP(B847,formules!E:K,7,0))</f>
        <v/>
      </c>
      <c r="G847" s="17" t="str">
        <f>IF(ISBLANK(B847),"",VLOOKUP(B847,formules!E:L,8,0))</f>
        <v/>
      </c>
      <c r="H847" s="1" t="str">
        <f t="shared" si="68"/>
        <v/>
      </c>
      <c r="I847" s="1"/>
      <c r="J847" s="1" t="str">
        <f t="shared" si="69"/>
        <v/>
      </c>
    </row>
    <row r="848" spans="1:10" x14ac:dyDescent="0.2">
      <c r="A848" s="1" t="str">
        <f t="shared" si="65"/>
        <v/>
      </c>
      <c r="B848" s="1"/>
      <c r="C848" s="15" t="str">
        <f t="shared" ca="1" si="66"/>
        <v/>
      </c>
      <c r="D848" s="1" t="str">
        <f>IF(ISBLANK(B848),"",VLOOKUP(B848,formules!E:F,2,0))</f>
        <v/>
      </c>
      <c r="E848" s="1" t="str">
        <f t="shared" si="67"/>
        <v/>
      </c>
      <c r="F848" s="17" t="str">
        <f>IF(ISBLANK(B848),"",VLOOKUP(B848,formules!E:K,7,0))</f>
        <v/>
      </c>
      <c r="G848" s="17" t="str">
        <f>IF(ISBLANK(B848),"",VLOOKUP(B848,formules!E:L,8,0))</f>
        <v/>
      </c>
      <c r="H848" s="1" t="str">
        <f t="shared" si="68"/>
        <v/>
      </c>
      <c r="I848" s="1"/>
      <c r="J848" s="1" t="str">
        <f t="shared" si="69"/>
        <v/>
      </c>
    </row>
    <row r="849" spans="1:10" x14ac:dyDescent="0.2">
      <c r="A849" s="1" t="str">
        <f t="shared" si="65"/>
        <v/>
      </c>
      <c r="B849" s="1"/>
      <c r="C849" s="15" t="str">
        <f t="shared" ca="1" si="66"/>
        <v/>
      </c>
      <c r="D849" s="1" t="str">
        <f>IF(ISBLANK(B849),"",VLOOKUP(B849,formules!E:F,2,0))</f>
        <v/>
      </c>
      <c r="E849" s="1" t="str">
        <f t="shared" si="67"/>
        <v/>
      </c>
      <c r="F849" s="17" t="str">
        <f>IF(ISBLANK(B849),"",VLOOKUP(B849,formules!E:K,7,0))</f>
        <v/>
      </c>
      <c r="G849" s="17" t="str">
        <f>IF(ISBLANK(B849),"",VLOOKUP(B849,formules!E:L,8,0))</f>
        <v/>
      </c>
      <c r="H849" s="1" t="str">
        <f t="shared" si="68"/>
        <v/>
      </c>
      <c r="I849" s="1"/>
      <c r="J849" s="1" t="str">
        <f t="shared" si="69"/>
        <v/>
      </c>
    </row>
    <row r="850" spans="1:10" x14ac:dyDescent="0.2">
      <c r="A850" s="1" t="str">
        <f t="shared" si="65"/>
        <v/>
      </c>
      <c r="B850" s="1"/>
      <c r="C850" s="15" t="str">
        <f t="shared" ca="1" si="66"/>
        <v/>
      </c>
      <c r="D850" s="1" t="str">
        <f>IF(ISBLANK(B850),"",VLOOKUP(B850,formules!E:F,2,0))</f>
        <v/>
      </c>
      <c r="E850" s="1" t="str">
        <f t="shared" si="67"/>
        <v/>
      </c>
      <c r="F850" s="17" t="str">
        <f>IF(ISBLANK(B850),"",VLOOKUP(B850,formules!E:K,7,0))</f>
        <v/>
      </c>
      <c r="G850" s="17" t="str">
        <f>IF(ISBLANK(B850),"",VLOOKUP(B850,formules!E:L,8,0))</f>
        <v/>
      </c>
      <c r="H850" s="1" t="str">
        <f t="shared" si="68"/>
        <v/>
      </c>
      <c r="I850" s="1"/>
      <c r="J850" s="1" t="str">
        <f t="shared" si="69"/>
        <v/>
      </c>
    </row>
    <row r="851" spans="1:10" x14ac:dyDescent="0.2">
      <c r="A851" s="1" t="str">
        <f t="shared" si="65"/>
        <v/>
      </c>
      <c r="B851" s="1"/>
      <c r="C851" s="15" t="str">
        <f t="shared" ca="1" si="66"/>
        <v/>
      </c>
      <c r="D851" s="1" t="str">
        <f>IF(ISBLANK(B851),"",VLOOKUP(B851,formules!E:F,2,0))</f>
        <v/>
      </c>
      <c r="E851" s="1" t="str">
        <f t="shared" si="67"/>
        <v/>
      </c>
      <c r="F851" s="17" t="str">
        <f>IF(ISBLANK(B851),"",VLOOKUP(B851,formules!E:K,7,0))</f>
        <v/>
      </c>
      <c r="G851" s="17" t="str">
        <f>IF(ISBLANK(B851),"",VLOOKUP(B851,formules!E:L,8,0))</f>
        <v/>
      </c>
      <c r="H851" s="1" t="str">
        <f t="shared" si="68"/>
        <v/>
      </c>
      <c r="I851" s="1"/>
      <c r="J851" s="1" t="str">
        <f t="shared" si="69"/>
        <v/>
      </c>
    </row>
    <row r="852" spans="1:10" x14ac:dyDescent="0.2">
      <c r="A852" s="1" t="str">
        <f t="shared" si="65"/>
        <v/>
      </c>
      <c r="B852" s="1"/>
      <c r="C852" s="15" t="str">
        <f t="shared" ca="1" si="66"/>
        <v/>
      </c>
      <c r="D852" s="1" t="str">
        <f>IF(ISBLANK(B852),"",VLOOKUP(B852,formules!E:F,2,0))</f>
        <v/>
      </c>
      <c r="E852" s="1" t="str">
        <f t="shared" si="67"/>
        <v/>
      </c>
      <c r="F852" s="17" t="str">
        <f>IF(ISBLANK(B852),"",VLOOKUP(B852,formules!E:K,7,0))</f>
        <v/>
      </c>
      <c r="G852" s="17" t="str">
        <f>IF(ISBLANK(B852),"",VLOOKUP(B852,formules!E:L,8,0))</f>
        <v/>
      </c>
      <c r="H852" s="1" t="str">
        <f t="shared" si="68"/>
        <v/>
      </c>
      <c r="I852" s="1"/>
      <c r="J852" s="1" t="str">
        <f t="shared" si="69"/>
        <v/>
      </c>
    </row>
    <row r="853" spans="1:10" x14ac:dyDescent="0.2">
      <c r="A853" s="1" t="str">
        <f t="shared" si="65"/>
        <v/>
      </c>
      <c r="B853" s="1"/>
      <c r="C853" s="15" t="str">
        <f t="shared" ca="1" si="66"/>
        <v/>
      </c>
      <c r="D853" s="1" t="str">
        <f>IF(ISBLANK(B853),"",VLOOKUP(B853,formules!E:F,2,0))</f>
        <v/>
      </c>
      <c r="E853" s="1" t="str">
        <f t="shared" si="67"/>
        <v/>
      </c>
      <c r="F853" s="17" t="str">
        <f>IF(ISBLANK(B853),"",VLOOKUP(B853,formules!E:K,7,0))</f>
        <v/>
      </c>
      <c r="G853" s="17" t="str">
        <f>IF(ISBLANK(B853),"",VLOOKUP(B853,formules!E:L,8,0))</f>
        <v/>
      </c>
      <c r="H853" s="1" t="str">
        <f t="shared" si="68"/>
        <v/>
      </c>
      <c r="I853" s="1"/>
      <c r="J853" s="1" t="str">
        <f t="shared" si="69"/>
        <v/>
      </c>
    </row>
    <row r="854" spans="1:10" x14ac:dyDescent="0.2">
      <c r="A854" s="1" t="str">
        <f t="shared" si="65"/>
        <v/>
      </c>
      <c r="B854" s="1"/>
      <c r="C854" s="15" t="str">
        <f t="shared" ca="1" si="66"/>
        <v/>
      </c>
      <c r="D854" s="1" t="str">
        <f>IF(ISBLANK(B854),"",VLOOKUP(B854,formules!E:F,2,0))</f>
        <v/>
      </c>
      <c r="E854" s="1" t="str">
        <f t="shared" si="67"/>
        <v/>
      </c>
      <c r="F854" s="17" t="str">
        <f>IF(ISBLANK(B854),"",VLOOKUP(B854,formules!E:K,7,0))</f>
        <v/>
      </c>
      <c r="G854" s="17" t="str">
        <f>IF(ISBLANK(B854),"",VLOOKUP(B854,formules!E:L,8,0))</f>
        <v/>
      </c>
      <c r="H854" s="1" t="str">
        <f t="shared" si="68"/>
        <v/>
      </c>
      <c r="I854" s="1"/>
      <c r="J854" s="1" t="str">
        <f t="shared" si="69"/>
        <v/>
      </c>
    </row>
    <row r="855" spans="1:10" x14ac:dyDescent="0.2">
      <c r="A855" s="1" t="str">
        <f t="shared" si="65"/>
        <v/>
      </c>
      <c r="B855" s="1"/>
      <c r="C855" s="15" t="str">
        <f t="shared" ca="1" si="66"/>
        <v/>
      </c>
      <c r="D855" s="1" t="str">
        <f>IF(ISBLANK(B855),"",VLOOKUP(B855,formules!E:F,2,0))</f>
        <v/>
      </c>
      <c r="E855" s="1" t="str">
        <f t="shared" si="67"/>
        <v/>
      </c>
      <c r="F855" s="17" t="str">
        <f>IF(ISBLANK(B855),"",VLOOKUP(B855,formules!E:K,7,0))</f>
        <v/>
      </c>
      <c r="G855" s="17" t="str">
        <f>IF(ISBLANK(B855),"",VLOOKUP(B855,formules!E:L,8,0))</f>
        <v/>
      </c>
      <c r="H855" s="1" t="str">
        <f t="shared" si="68"/>
        <v/>
      </c>
      <c r="I855" s="1"/>
      <c r="J855" s="1" t="str">
        <f t="shared" si="69"/>
        <v/>
      </c>
    </row>
    <row r="856" spans="1:10" x14ac:dyDescent="0.2">
      <c r="A856" s="1" t="str">
        <f t="shared" si="65"/>
        <v/>
      </c>
      <c r="B856" s="1"/>
      <c r="C856" s="15" t="str">
        <f t="shared" ca="1" si="66"/>
        <v/>
      </c>
      <c r="D856" s="1" t="str">
        <f>IF(ISBLANK(B856),"",VLOOKUP(B856,formules!E:F,2,0))</f>
        <v/>
      </c>
      <c r="E856" s="1" t="str">
        <f t="shared" si="67"/>
        <v/>
      </c>
      <c r="F856" s="17" t="str">
        <f>IF(ISBLANK(B856),"",VLOOKUP(B856,formules!E:K,7,0))</f>
        <v/>
      </c>
      <c r="G856" s="17" t="str">
        <f>IF(ISBLANK(B856),"",VLOOKUP(B856,formules!E:L,8,0))</f>
        <v/>
      </c>
      <c r="H856" s="1" t="str">
        <f t="shared" si="68"/>
        <v/>
      </c>
      <c r="I856" s="1"/>
      <c r="J856" s="1" t="str">
        <f t="shared" si="69"/>
        <v/>
      </c>
    </row>
    <row r="857" spans="1:10" x14ac:dyDescent="0.2">
      <c r="A857" s="1" t="str">
        <f t="shared" si="65"/>
        <v/>
      </c>
      <c r="B857" s="1"/>
      <c r="C857" s="15" t="str">
        <f t="shared" ca="1" si="66"/>
        <v/>
      </c>
      <c r="D857" s="1" t="str">
        <f>IF(ISBLANK(B857),"",VLOOKUP(B857,formules!E:F,2,0))</f>
        <v/>
      </c>
      <c r="E857" s="1" t="str">
        <f t="shared" si="67"/>
        <v/>
      </c>
      <c r="F857" s="17" t="str">
        <f>IF(ISBLANK(B857),"",VLOOKUP(B857,formules!E:K,7,0))</f>
        <v/>
      </c>
      <c r="G857" s="17" t="str">
        <f>IF(ISBLANK(B857),"",VLOOKUP(B857,formules!E:L,8,0))</f>
        <v/>
      </c>
      <c r="H857" s="1" t="str">
        <f t="shared" si="68"/>
        <v/>
      </c>
      <c r="I857" s="1"/>
      <c r="J857" s="1" t="str">
        <f t="shared" si="69"/>
        <v/>
      </c>
    </row>
    <row r="858" spans="1:10" x14ac:dyDescent="0.2">
      <c r="A858" s="1" t="str">
        <f t="shared" si="65"/>
        <v/>
      </c>
      <c r="B858" s="1"/>
      <c r="C858" s="15" t="str">
        <f t="shared" ca="1" si="66"/>
        <v/>
      </c>
      <c r="D858" s="1" t="str">
        <f>IF(ISBLANK(B858),"",VLOOKUP(B858,formules!E:F,2,0))</f>
        <v/>
      </c>
      <c r="E858" s="1" t="str">
        <f t="shared" si="67"/>
        <v/>
      </c>
      <c r="F858" s="17" t="str">
        <f>IF(ISBLANK(B858),"",VLOOKUP(B858,formules!E:K,7,0))</f>
        <v/>
      </c>
      <c r="G858" s="17" t="str">
        <f>IF(ISBLANK(B858),"",VLOOKUP(B858,formules!E:L,8,0))</f>
        <v/>
      </c>
      <c r="H858" s="1" t="str">
        <f t="shared" si="68"/>
        <v/>
      </c>
      <c r="I858" s="1"/>
      <c r="J858" s="1" t="str">
        <f t="shared" si="69"/>
        <v/>
      </c>
    </row>
    <row r="859" spans="1:10" x14ac:dyDescent="0.2">
      <c r="A859" s="1" t="str">
        <f t="shared" si="65"/>
        <v/>
      </c>
      <c r="B859" s="1"/>
      <c r="C859" s="15" t="str">
        <f t="shared" ca="1" si="66"/>
        <v/>
      </c>
      <c r="D859" s="1" t="str">
        <f>IF(ISBLANK(B859),"",VLOOKUP(B859,formules!E:F,2,0))</f>
        <v/>
      </c>
      <c r="E859" s="1" t="str">
        <f t="shared" si="67"/>
        <v/>
      </c>
      <c r="F859" s="17" t="str">
        <f>IF(ISBLANK(B859),"",VLOOKUP(B859,formules!E:K,7,0))</f>
        <v/>
      </c>
      <c r="G859" s="17" t="str">
        <f>IF(ISBLANK(B859),"",VLOOKUP(B859,formules!E:L,8,0))</f>
        <v/>
      </c>
      <c r="H859" s="1" t="str">
        <f t="shared" si="68"/>
        <v/>
      </c>
      <c r="I859" s="1"/>
      <c r="J859" s="1" t="str">
        <f t="shared" si="69"/>
        <v/>
      </c>
    </row>
    <row r="860" spans="1:10" x14ac:dyDescent="0.2">
      <c r="A860" s="1" t="str">
        <f t="shared" si="65"/>
        <v/>
      </c>
      <c r="B860" s="1"/>
      <c r="C860" s="15" t="str">
        <f t="shared" ca="1" si="66"/>
        <v/>
      </c>
      <c r="D860" s="1" t="str">
        <f>IF(ISBLANK(B860),"",VLOOKUP(B860,formules!E:F,2,0))</f>
        <v/>
      </c>
      <c r="E860" s="1" t="str">
        <f t="shared" si="67"/>
        <v/>
      </c>
      <c r="F860" s="17" t="str">
        <f>IF(ISBLANK(B860),"",VLOOKUP(B860,formules!E:K,7,0))</f>
        <v/>
      </c>
      <c r="G860" s="17" t="str">
        <f>IF(ISBLANK(B860),"",VLOOKUP(B860,formules!E:L,8,0))</f>
        <v/>
      </c>
      <c r="H860" s="1" t="str">
        <f t="shared" si="68"/>
        <v/>
      </c>
      <c r="I860" s="1"/>
      <c r="J860" s="1" t="str">
        <f t="shared" si="69"/>
        <v/>
      </c>
    </row>
    <row r="861" spans="1:10" x14ac:dyDescent="0.2">
      <c r="A861" s="1" t="str">
        <f t="shared" si="65"/>
        <v/>
      </c>
      <c r="B861" s="1"/>
      <c r="C861" s="15" t="str">
        <f t="shared" ca="1" si="66"/>
        <v/>
      </c>
      <c r="D861" s="1" t="str">
        <f>IF(ISBLANK(B861),"",VLOOKUP(B861,formules!E:F,2,0))</f>
        <v/>
      </c>
      <c r="E861" s="1" t="str">
        <f t="shared" si="67"/>
        <v/>
      </c>
      <c r="F861" s="17" t="str">
        <f>IF(ISBLANK(B861),"",VLOOKUP(B861,formules!E:K,7,0))</f>
        <v/>
      </c>
      <c r="G861" s="17" t="str">
        <f>IF(ISBLANK(B861),"",VLOOKUP(B861,formules!E:L,8,0))</f>
        <v/>
      </c>
      <c r="H861" s="1" t="str">
        <f t="shared" si="68"/>
        <v/>
      </c>
      <c r="I861" s="1"/>
      <c r="J861" s="1" t="str">
        <f t="shared" si="69"/>
        <v/>
      </c>
    </row>
    <row r="862" spans="1:10" x14ac:dyDescent="0.2">
      <c r="A862" s="1" t="str">
        <f t="shared" si="65"/>
        <v/>
      </c>
      <c r="B862" s="1"/>
      <c r="C862" s="15" t="str">
        <f t="shared" ca="1" si="66"/>
        <v/>
      </c>
      <c r="D862" s="1" t="str">
        <f>IF(ISBLANK(B862),"",VLOOKUP(B862,formules!E:F,2,0))</f>
        <v/>
      </c>
      <c r="E862" s="1" t="str">
        <f t="shared" si="67"/>
        <v/>
      </c>
      <c r="F862" s="17" t="str">
        <f>IF(ISBLANK(B862),"",VLOOKUP(B862,formules!E:K,7,0))</f>
        <v/>
      </c>
      <c r="G862" s="17" t="str">
        <f>IF(ISBLANK(B862),"",VLOOKUP(B862,formules!E:L,8,0))</f>
        <v/>
      </c>
      <c r="H862" s="1" t="str">
        <f t="shared" si="68"/>
        <v/>
      </c>
      <c r="I862" s="1"/>
      <c r="J862" s="1" t="str">
        <f t="shared" si="69"/>
        <v/>
      </c>
    </row>
    <row r="863" spans="1:10" x14ac:dyDescent="0.2">
      <c r="A863" s="1" t="str">
        <f t="shared" si="65"/>
        <v/>
      </c>
      <c r="B863" s="1"/>
      <c r="C863" s="15" t="str">
        <f t="shared" ca="1" si="66"/>
        <v/>
      </c>
      <c r="D863" s="1" t="str">
        <f>IF(ISBLANK(B863),"",VLOOKUP(B863,formules!E:F,2,0))</f>
        <v/>
      </c>
      <c r="E863" s="1" t="str">
        <f t="shared" si="67"/>
        <v/>
      </c>
      <c r="F863" s="17" t="str">
        <f>IF(ISBLANK(B863),"",VLOOKUP(B863,formules!E:K,7,0))</f>
        <v/>
      </c>
      <c r="G863" s="17" t="str">
        <f>IF(ISBLANK(B863),"",VLOOKUP(B863,formules!E:L,8,0))</f>
        <v/>
      </c>
      <c r="H863" s="1" t="str">
        <f t="shared" si="68"/>
        <v/>
      </c>
      <c r="I863" s="1"/>
      <c r="J863" s="1" t="str">
        <f t="shared" si="69"/>
        <v/>
      </c>
    </row>
    <row r="864" spans="1:10" x14ac:dyDescent="0.2">
      <c r="A864" s="1" t="str">
        <f t="shared" si="65"/>
        <v/>
      </c>
      <c r="B864" s="1"/>
      <c r="C864" s="15" t="str">
        <f t="shared" ca="1" si="66"/>
        <v/>
      </c>
      <c r="D864" s="1" t="str">
        <f>IF(ISBLANK(B864),"",VLOOKUP(B864,formules!E:F,2,0))</f>
        <v/>
      </c>
      <c r="E864" s="1" t="str">
        <f t="shared" si="67"/>
        <v/>
      </c>
      <c r="F864" s="17" t="str">
        <f>IF(ISBLANK(B864),"",VLOOKUP(B864,formules!E:K,7,0))</f>
        <v/>
      </c>
      <c r="G864" s="17" t="str">
        <f>IF(ISBLANK(B864),"",VLOOKUP(B864,formules!E:L,8,0))</f>
        <v/>
      </c>
      <c r="H864" s="1" t="str">
        <f t="shared" si="68"/>
        <v/>
      </c>
      <c r="I864" s="1"/>
      <c r="J864" s="1" t="str">
        <f t="shared" si="69"/>
        <v/>
      </c>
    </row>
    <row r="865" spans="1:10" x14ac:dyDescent="0.2">
      <c r="A865" s="1" t="str">
        <f t="shared" si="65"/>
        <v/>
      </c>
      <c r="B865" s="1"/>
      <c r="C865" s="15" t="str">
        <f t="shared" ca="1" si="66"/>
        <v/>
      </c>
      <c r="D865" s="1" t="str">
        <f>IF(ISBLANK(B865),"",VLOOKUP(B865,formules!E:F,2,0))</f>
        <v/>
      </c>
      <c r="E865" s="1" t="str">
        <f t="shared" si="67"/>
        <v/>
      </c>
      <c r="F865" s="17" t="str">
        <f>IF(ISBLANK(B865),"",VLOOKUP(B865,formules!E:K,7,0))</f>
        <v/>
      </c>
      <c r="G865" s="17" t="str">
        <f>IF(ISBLANK(B865),"",VLOOKUP(B865,formules!E:L,8,0))</f>
        <v/>
      </c>
      <c r="H865" s="1" t="str">
        <f t="shared" si="68"/>
        <v/>
      </c>
      <c r="I865" s="1"/>
      <c r="J865" s="1" t="str">
        <f t="shared" si="69"/>
        <v/>
      </c>
    </row>
    <row r="866" spans="1:10" x14ac:dyDescent="0.2">
      <c r="A866" s="1" t="str">
        <f t="shared" si="65"/>
        <v/>
      </c>
      <c r="B866" s="1"/>
      <c r="C866" s="15" t="str">
        <f t="shared" ca="1" si="66"/>
        <v/>
      </c>
      <c r="D866" s="1" t="str">
        <f>IF(ISBLANK(B866),"",VLOOKUP(B866,formules!E:F,2,0))</f>
        <v/>
      </c>
      <c r="E866" s="1" t="str">
        <f t="shared" si="67"/>
        <v/>
      </c>
      <c r="F866" s="17" t="str">
        <f>IF(ISBLANK(B866),"",VLOOKUP(B866,formules!E:K,7,0))</f>
        <v/>
      </c>
      <c r="G866" s="17" t="str">
        <f>IF(ISBLANK(B866),"",VLOOKUP(B866,formules!E:L,8,0))</f>
        <v/>
      </c>
      <c r="H866" s="1" t="str">
        <f t="shared" si="68"/>
        <v/>
      </c>
      <c r="I866" s="1"/>
      <c r="J866" s="1" t="str">
        <f t="shared" si="69"/>
        <v/>
      </c>
    </row>
    <row r="867" spans="1:10" x14ac:dyDescent="0.2">
      <c r="A867" s="1" t="str">
        <f t="shared" si="65"/>
        <v/>
      </c>
      <c r="B867" s="1"/>
      <c r="C867" s="15" t="str">
        <f t="shared" ca="1" si="66"/>
        <v/>
      </c>
      <c r="D867" s="1" t="str">
        <f>IF(ISBLANK(B867),"",VLOOKUP(B867,formules!E:F,2,0))</f>
        <v/>
      </c>
      <c r="E867" s="1" t="str">
        <f t="shared" si="67"/>
        <v/>
      </c>
      <c r="F867" s="17" t="str">
        <f>IF(ISBLANK(B867),"",VLOOKUP(B867,formules!E:K,7,0))</f>
        <v/>
      </c>
      <c r="G867" s="17" t="str">
        <f>IF(ISBLANK(B867),"",VLOOKUP(B867,formules!E:L,8,0))</f>
        <v/>
      </c>
      <c r="H867" s="1" t="str">
        <f t="shared" si="68"/>
        <v/>
      </c>
      <c r="I867" s="1"/>
      <c r="J867" s="1" t="str">
        <f t="shared" si="69"/>
        <v/>
      </c>
    </row>
    <row r="868" spans="1:10" x14ac:dyDescent="0.2">
      <c r="A868" s="1" t="str">
        <f t="shared" si="65"/>
        <v/>
      </c>
      <c r="B868" s="1"/>
      <c r="C868" s="15" t="str">
        <f t="shared" ca="1" si="66"/>
        <v/>
      </c>
      <c r="D868" s="1" t="str">
        <f>IF(ISBLANK(B868),"",VLOOKUP(B868,formules!E:F,2,0))</f>
        <v/>
      </c>
      <c r="E868" s="1" t="str">
        <f t="shared" si="67"/>
        <v/>
      </c>
      <c r="F868" s="17" t="str">
        <f>IF(ISBLANK(B868),"",VLOOKUP(B868,formules!E:K,7,0))</f>
        <v/>
      </c>
      <c r="G868" s="17" t="str">
        <f>IF(ISBLANK(B868),"",VLOOKUP(B868,formules!E:L,8,0))</f>
        <v/>
      </c>
      <c r="H868" s="1" t="str">
        <f t="shared" si="68"/>
        <v/>
      </c>
      <c r="I868" s="1"/>
      <c r="J868" s="1" t="str">
        <f t="shared" si="69"/>
        <v/>
      </c>
    </row>
    <row r="869" spans="1:10" x14ac:dyDescent="0.2">
      <c r="A869" s="1" t="str">
        <f t="shared" si="65"/>
        <v/>
      </c>
      <c r="B869" s="1"/>
      <c r="C869" s="15" t="str">
        <f t="shared" ca="1" si="66"/>
        <v/>
      </c>
      <c r="D869" s="1" t="str">
        <f>IF(ISBLANK(B869),"",VLOOKUP(B869,formules!E:F,2,0))</f>
        <v/>
      </c>
      <c r="E869" s="1" t="str">
        <f t="shared" si="67"/>
        <v/>
      </c>
      <c r="F869" s="17" t="str">
        <f>IF(ISBLANK(B869),"",VLOOKUP(B869,formules!E:K,7,0))</f>
        <v/>
      </c>
      <c r="G869" s="17" t="str">
        <f>IF(ISBLANK(B869),"",VLOOKUP(B869,formules!E:L,8,0))</f>
        <v/>
      </c>
      <c r="H869" s="1" t="str">
        <f t="shared" si="68"/>
        <v/>
      </c>
      <c r="I869" s="1"/>
      <c r="J869" s="1" t="str">
        <f t="shared" si="69"/>
        <v/>
      </c>
    </row>
    <row r="870" spans="1:10" x14ac:dyDescent="0.2">
      <c r="A870" s="1" t="str">
        <f t="shared" si="65"/>
        <v/>
      </c>
      <c r="B870" s="1"/>
      <c r="C870" s="15" t="str">
        <f t="shared" ca="1" si="66"/>
        <v/>
      </c>
      <c r="D870" s="1" t="str">
        <f>IF(ISBLANK(B870),"",VLOOKUP(B870,formules!E:F,2,0))</f>
        <v/>
      </c>
      <c r="E870" s="1" t="str">
        <f t="shared" si="67"/>
        <v/>
      </c>
      <c r="F870" s="17" t="str">
        <f>IF(ISBLANK(B870),"",VLOOKUP(B870,formules!E:K,7,0))</f>
        <v/>
      </c>
      <c r="G870" s="17" t="str">
        <f>IF(ISBLANK(B870),"",VLOOKUP(B870,formules!E:L,8,0))</f>
        <v/>
      </c>
      <c r="H870" s="1" t="str">
        <f t="shared" si="68"/>
        <v/>
      </c>
      <c r="I870" s="1"/>
      <c r="J870" s="1" t="str">
        <f t="shared" si="69"/>
        <v/>
      </c>
    </row>
    <row r="871" spans="1:10" x14ac:dyDescent="0.2">
      <c r="A871" s="1" t="str">
        <f t="shared" si="65"/>
        <v/>
      </c>
      <c r="B871" s="1"/>
      <c r="C871" s="15" t="str">
        <f t="shared" ca="1" si="66"/>
        <v/>
      </c>
      <c r="D871" s="1" t="str">
        <f>IF(ISBLANK(B871),"",VLOOKUP(B871,formules!E:F,2,0))</f>
        <v/>
      </c>
      <c r="E871" s="1" t="str">
        <f t="shared" si="67"/>
        <v/>
      </c>
      <c r="F871" s="17" t="str">
        <f>IF(ISBLANK(B871),"",VLOOKUP(B871,formules!E:K,7,0))</f>
        <v/>
      </c>
      <c r="G871" s="17" t="str">
        <f>IF(ISBLANK(B871),"",VLOOKUP(B871,formules!E:L,8,0))</f>
        <v/>
      </c>
      <c r="H871" s="1" t="str">
        <f t="shared" si="68"/>
        <v/>
      </c>
      <c r="I871" s="1"/>
      <c r="J871" s="1" t="str">
        <f t="shared" si="69"/>
        <v/>
      </c>
    </row>
    <row r="872" spans="1:10" x14ac:dyDescent="0.2">
      <c r="A872" s="1" t="str">
        <f t="shared" si="65"/>
        <v/>
      </c>
      <c r="B872" s="1"/>
      <c r="C872" s="15" t="str">
        <f t="shared" ca="1" si="66"/>
        <v/>
      </c>
      <c r="D872" s="1" t="str">
        <f>IF(ISBLANK(B872),"",VLOOKUP(B872,formules!E:F,2,0))</f>
        <v/>
      </c>
      <c r="E872" s="1" t="str">
        <f t="shared" si="67"/>
        <v/>
      </c>
      <c r="F872" s="17" t="str">
        <f>IF(ISBLANK(B872),"",VLOOKUP(B872,formules!E:K,7,0))</f>
        <v/>
      </c>
      <c r="G872" s="17" t="str">
        <f>IF(ISBLANK(B872),"",VLOOKUP(B872,formules!E:L,8,0))</f>
        <v/>
      </c>
      <c r="H872" s="1" t="str">
        <f t="shared" si="68"/>
        <v/>
      </c>
      <c r="I872" s="1"/>
      <c r="J872" s="1" t="str">
        <f t="shared" si="69"/>
        <v/>
      </c>
    </row>
    <row r="873" spans="1:10" x14ac:dyDescent="0.2">
      <c r="A873" s="1" t="str">
        <f t="shared" si="65"/>
        <v/>
      </c>
      <c r="B873" s="1"/>
      <c r="C873" s="15" t="str">
        <f t="shared" ca="1" si="66"/>
        <v/>
      </c>
      <c r="D873" s="1" t="str">
        <f>IF(ISBLANK(B873),"",VLOOKUP(B873,formules!E:F,2,0))</f>
        <v/>
      </c>
      <c r="E873" s="1" t="str">
        <f t="shared" si="67"/>
        <v/>
      </c>
      <c r="F873" s="17" t="str">
        <f>IF(ISBLANK(B873),"",VLOOKUP(B873,formules!E:K,7,0))</f>
        <v/>
      </c>
      <c r="G873" s="17" t="str">
        <f>IF(ISBLANK(B873),"",VLOOKUP(B873,formules!E:L,8,0))</f>
        <v/>
      </c>
      <c r="H873" s="1" t="str">
        <f t="shared" si="68"/>
        <v/>
      </c>
      <c r="I873" s="1"/>
      <c r="J873" s="1" t="str">
        <f t="shared" si="69"/>
        <v/>
      </c>
    </row>
    <row r="874" spans="1:10" x14ac:dyDescent="0.2">
      <c r="A874" s="1" t="str">
        <f t="shared" si="65"/>
        <v/>
      </c>
      <c r="B874" s="1"/>
      <c r="C874" s="15" t="str">
        <f t="shared" ca="1" si="66"/>
        <v/>
      </c>
      <c r="D874" s="1" t="str">
        <f>IF(ISBLANK(B874),"",VLOOKUP(B874,formules!E:F,2,0))</f>
        <v/>
      </c>
      <c r="E874" s="1" t="str">
        <f t="shared" si="67"/>
        <v/>
      </c>
      <c r="F874" s="17" t="str">
        <f>IF(ISBLANK(B874),"",VLOOKUP(B874,formules!E:K,7,0))</f>
        <v/>
      </c>
      <c r="G874" s="17" t="str">
        <f>IF(ISBLANK(B874),"",VLOOKUP(B874,formules!E:L,8,0))</f>
        <v/>
      </c>
      <c r="H874" s="1" t="str">
        <f t="shared" si="68"/>
        <v/>
      </c>
      <c r="I874" s="1"/>
      <c r="J874" s="1" t="str">
        <f t="shared" si="69"/>
        <v/>
      </c>
    </row>
    <row r="875" spans="1:10" x14ac:dyDescent="0.2">
      <c r="A875" s="1" t="str">
        <f t="shared" si="65"/>
        <v/>
      </c>
      <c r="B875" s="1"/>
      <c r="C875" s="15" t="str">
        <f t="shared" ca="1" si="66"/>
        <v/>
      </c>
      <c r="D875" s="1" t="str">
        <f>IF(ISBLANK(B875),"",VLOOKUP(B875,formules!E:F,2,0))</f>
        <v/>
      </c>
      <c r="E875" s="1" t="str">
        <f t="shared" si="67"/>
        <v/>
      </c>
      <c r="F875" s="17" t="str">
        <f>IF(ISBLANK(B875),"",VLOOKUP(B875,formules!E:K,7,0))</f>
        <v/>
      </c>
      <c r="G875" s="17" t="str">
        <f>IF(ISBLANK(B875),"",VLOOKUP(B875,formules!E:L,8,0))</f>
        <v/>
      </c>
      <c r="H875" s="1" t="str">
        <f t="shared" si="68"/>
        <v/>
      </c>
      <c r="I875" s="1"/>
      <c r="J875" s="1" t="str">
        <f t="shared" si="69"/>
        <v/>
      </c>
    </row>
    <row r="876" spans="1:10" x14ac:dyDescent="0.2">
      <c r="A876" s="1" t="str">
        <f t="shared" si="65"/>
        <v/>
      </c>
      <c r="B876" s="1"/>
      <c r="C876" s="15" t="str">
        <f t="shared" ca="1" si="66"/>
        <v/>
      </c>
      <c r="D876" s="1" t="str">
        <f>IF(ISBLANK(B876),"",VLOOKUP(B876,formules!E:F,2,0))</f>
        <v/>
      </c>
      <c r="E876" s="1" t="str">
        <f t="shared" si="67"/>
        <v/>
      </c>
      <c r="F876" s="17" t="str">
        <f>IF(ISBLANK(B876),"",VLOOKUP(B876,formules!E:K,7,0))</f>
        <v/>
      </c>
      <c r="G876" s="17" t="str">
        <f>IF(ISBLANK(B876),"",VLOOKUP(B876,formules!E:L,8,0))</f>
        <v/>
      </c>
      <c r="H876" s="1" t="str">
        <f t="shared" si="68"/>
        <v/>
      </c>
      <c r="I876" s="1"/>
      <c r="J876" s="1" t="str">
        <f t="shared" si="69"/>
        <v/>
      </c>
    </row>
    <row r="877" spans="1:10" x14ac:dyDescent="0.2">
      <c r="A877" s="1" t="str">
        <f t="shared" si="65"/>
        <v/>
      </c>
      <c r="B877" s="1"/>
      <c r="C877" s="15" t="str">
        <f t="shared" ca="1" si="66"/>
        <v/>
      </c>
      <c r="D877" s="1" t="str">
        <f>IF(ISBLANK(B877),"",VLOOKUP(B877,formules!E:F,2,0))</f>
        <v/>
      </c>
      <c r="E877" s="1" t="str">
        <f t="shared" si="67"/>
        <v/>
      </c>
      <c r="F877" s="17" t="str">
        <f>IF(ISBLANK(B877),"",VLOOKUP(B877,formules!E:K,7,0))</f>
        <v/>
      </c>
      <c r="G877" s="17" t="str">
        <f>IF(ISBLANK(B877),"",VLOOKUP(B877,formules!E:L,8,0))</f>
        <v/>
      </c>
      <c r="H877" s="1" t="str">
        <f t="shared" si="68"/>
        <v/>
      </c>
      <c r="I877" s="1"/>
      <c r="J877" s="1" t="str">
        <f t="shared" si="69"/>
        <v/>
      </c>
    </row>
    <row r="878" spans="1:10" x14ac:dyDescent="0.2">
      <c r="A878" s="1" t="str">
        <f t="shared" si="65"/>
        <v/>
      </c>
      <c r="B878" s="1"/>
      <c r="C878" s="15" t="str">
        <f t="shared" ca="1" si="66"/>
        <v/>
      </c>
      <c r="D878" s="1" t="str">
        <f>IF(ISBLANK(B878),"",VLOOKUP(B878,formules!E:F,2,0))</f>
        <v/>
      </c>
      <c r="E878" s="1" t="str">
        <f t="shared" si="67"/>
        <v/>
      </c>
      <c r="F878" s="17" t="str">
        <f>IF(ISBLANK(B878),"",VLOOKUP(B878,formules!E:K,7,0))</f>
        <v/>
      </c>
      <c r="G878" s="17" t="str">
        <f>IF(ISBLANK(B878),"",VLOOKUP(B878,formules!E:L,8,0))</f>
        <v/>
      </c>
      <c r="H878" s="1" t="str">
        <f t="shared" si="68"/>
        <v/>
      </c>
      <c r="I878" s="1"/>
      <c r="J878" s="1" t="str">
        <f t="shared" si="69"/>
        <v/>
      </c>
    </row>
    <row r="879" spans="1:10" x14ac:dyDescent="0.2">
      <c r="A879" s="1" t="str">
        <f t="shared" si="65"/>
        <v/>
      </c>
      <c r="B879" s="1"/>
      <c r="C879" s="15" t="str">
        <f t="shared" ca="1" si="66"/>
        <v/>
      </c>
      <c r="D879" s="1" t="str">
        <f>IF(ISBLANK(B879),"",VLOOKUP(B879,formules!E:F,2,0))</f>
        <v/>
      </c>
      <c r="E879" s="1" t="str">
        <f t="shared" si="67"/>
        <v/>
      </c>
      <c r="F879" s="17" t="str">
        <f>IF(ISBLANK(B879),"",VLOOKUP(B879,formules!E:K,7,0))</f>
        <v/>
      </c>
      <c r="G879" s="17" t="str">
        <f>IF(ISBLANK(B879),"",VLOOKUP(B879,formules!E:L,8,0))</f>
        <v/>
      </c>
      <c r="H879" s="1" t="str">
        <f t="shared" si="68"/>
        <v/>
      </c>
      <c r="I879" s="1"/>
      <c r="J879" s="1" t="str">
        <f t="shared" si="69"/>
        <v/>
      </c>
    </row>
    <row r="880" spans="1:10" x14ac:dyDescent="0.2">
      <c r="A880" s="1" t="str">
        <f t="shared" si="65"/>
        <v/>
      </c>
      <c r="B880" s="1"/>
      <c r="C880" s="15" t="str">
        <f t="shared" ca="1" si="66"/>
        <v/>
      </c>
      <c r="D880" s="1" t="str">
        <f>IF(ISBLANK(B880),"",VLOOKUP(B880,formules!E:F,2,0))</f>
        <v/>
      </c>
      <c r="E880" s="1" t="str">
        <f t="shared" si="67"/>
        <v/>
      </c>
      <c r="F880" s="17" t="str">
        <f>IF(ISBLANK(B880),"",VLOOKUP(B880,formules!E:K,7,0))</f>
        <v/>
      </c>
      <c r="G880" s="17" t="str">
        <f>IF(ISBLANK(B880),"",VLOOKUP(B880,formules!E:L,8,0))</f>
        <v/>
      </c>
      <c r="H880" s="1" t="str">
        <f t="shared" si="68"/>
        <v/>
      </c>
      <c r="I880" s="1"/>
      <c r="J880" s="1" t="str">
        <f t="shared" si="69"/>
        <v/>
      </c>
    </row>
    <row r="881" spans="1:10" x14ac:dyDescent="0.2">
      <c r="A881" s="1" t="str">
        <f t="shared" si="65"/>
        <v/>
      </c>
      <c r="B881" s="1"/>
      <c r="C881" s="15" t="str">
        <f t="shared" ca="1" si="66"/>
        <v/>
      </c>
      <c r="D881" s="1" t="str">
        <f>IF(ISBLANK(B881),"",VLOOKUP(B881,formules!E:F,2,0))</f>
        <v/>
      </c>
      <c r="E881" s="1" t="str">
        <f t="shared" si="67"/>
        <v/>
      </c>
      <c r="F881" s="17" t="str">
        <f>IF(ISBLANK(B881),"",VLOOKUP(B881,formules!E:K,7,0))</f>
        <v/>
      </c>
      <c r="G881" s="17" t="str">
        <f>IF(ISBLANK(B881),"",VLOOKUP(B881,formules!E:L,8,0))</f>
        <v/>
      </c>
      <c r="H881" s="1" t="str">
        <f t="shared" si="68"/>
        <v/>
      </c>
      <c r="I881" s="1"/>
      <c r="J881" s="1" t="str">
        <f t="shared" si="69"/>
        <v/>
      </c>
    </row>
    <row r="882" spans="1:10" x14ac:dyDescent="0.2">
      <c r="A882" s="1" t="str">
        <f t="shared" si="65"/>
        <v/>
      </c>
      <c r="B882" s="1"/>
      <c r="C882" s="15" t="str">
        <f t="shared" ca="1" si="66"/>
        <v/>
      </c>
      <c r="D882" s="1" t="str">
        <f>IF(ISBLANK(B882),"",VLOOKUP(B882,formules!E:F,2,0))</f>
        <v/>
      </c>
      <c r="E882" s="1" t="str">
        <f t="shared" si="67"/>
        <v/>
      </c>
      <c r="F882" s="17" t="str">
        <f>IF(ISBLANK(B882),"",VLOOKUP(B882,formules!E:K,7,0))</f>
        <v/>
      </c>
      <c r="G882" s="17" t="str">
        <f>IF(ISBLANK(B882),"",VLOOKUP(B882,formules!E:L,8,0))</f>
        <v/>
      </c>
      <c r="H882" s="1" t="str">
        <f t="shared" si="68"/>
        <v/>
      </c>
      <c r="I882" s="1"/>
      <c r="J882" s="1" t="str">
        <f t="shared" si="69"/>
        <v/>
      </c>
    </row>
    <row r="883" spans="1:10" x14ac:dyDescent="0.2">
      <c r="A883" s="1" t="str">
        <f t="shared" si="65"/>
        <v/>
      </c>
      <c r="B883" s="1"/>
      <c r="C883" s="15" t="str">
        <f t="shared" ca="1" si="66"/>
        <v/>
      </c>
      <c r="D883" s="1" t="str">
        <f>IF(ISBLANK(B883),"",VLOOKUP(B883,formules!E:F,2,0))</f>
        <v/>
      </c>
      <c r="E883" s="1" t="str">
        <f t="shared" si="67"/>
        <v/>
      </c>
      <c r="F883" s="17" t="str">
        <f>IF(ISBLANK(B883),"",VLOOKUP(B883,formules!E:K,7,0))</f>
        <v/>
      </c>
      <c r="G883" s="17" t="str">
        <f>IF(ISBLANK(B883),"",VLOOKUP(B883,formules!E:L,8,0))</f>
        <v/>
      </c>
      <c r="H883" s="1" t="str">
        <f t="shared" si="68"/>
        <v/>
      </c>
      <c r="I883" s="1"/>
      <c r="J883" s="1" t="str">
        <f t="shared" si="69"/>
        <v/>
      </c>
    </row>
    <row r="884" spans="1:10" x14ac:dyDescent="0.2">
      <c r="A884" s="1" t="str">
        <f t="shared" si="65"/>
        <v/>
      </c>
      <c r="B884" s="1"/>
      <c r="C884" s="15" t="str">
        <f t="shared" ca="1" si="66"/>
        <v/>
      </c>
      <c r="D884" s="1" t="str">
        <f>IF(ISBLANK(B884),"",VLOOKUP(B884,formules!E:F,2,0))</f>
        <v/>
      </c>
      <c r="E884" s="1" t="str">
        <f t="shared" si="67"/>
        <v/>
      </c>
      <c r="F884" s="17" t="str">
        <f>IF(ISBLANK(B884),"",VLOOKUP(B884,formules!E:K,7,0))</f>
        <v/>
      </c>
      <c r="G884" s="17" t="str">
        <f>IF(ISBLANK(B884),"",VLOOKUP(B884,formules!E:L,8,0))</f>
        <v/>
      </c>
      <c r="H884" s="1" t="str">
        <f t="shared" si="68"/>
        <v/>
      </c>
      <c r="I884" s="1"/>
      <c r="J884" s="1" t="str">
        <f t="shared" si="69"/>
        <v/>
      </c>
    </row>
    <row r="885" spans="1:10" x14ac:dyDescent="0.2">
      <c r="A885" s="1" t="str">
        <f t="shared" si="65"/>
        <v/>
      </c>
      <c r="B885" s="1"/>
      <c r="C885" s="15" t="str">
        <f t="shared" ca="1" si="66"/>
        <v/>
      </c>
      <c r="D885" s="1" t="str">
        <f>IF(ISBLANK(B885),"",VLOOKUP(B885,formules!E:F,2,0))</f>
        <v/>
      </c>
      <c r="E885" s="1" t="str">
        <f t="shared" si="67"/>
        <v/>
      </c>
      <c r="F885" s="17" t="str">
        <f>IF(ISBLANK(B885),"",VLOOKUP(B885,formules!E:K,7,0))</f>
        <v/>
      </c>
      <c r="G885" s="17" t="str">
        <f>IF(ISBLANK(B885),"",VLOOKUP(B885,formules!E:L,8,0))</f>
        <v/>
      </c>
      <c r="H885" s="1" t="str">
        <f t="shared" si="68"/>
        <v/>
      </c>
      <c r="I885" s="1"/>
      <c r="J885" s="1" t="str">
        <f t="shared" si="69"/>
        <v/>
      </c>
    </row>
    <row r="886" spans="1:10" x14ac:dyDescent="0.2">
      <c r="A886" s="1" t="str">
        <f t="shared" si="65"/>
        <v/>
      </c>
      <c r="B886" s="1"/>
      <c r="C886" s="15" t="str">
        <f t="shared" ca="1" si="66"/>
        <v/>
      </c>
      <c r="D886" s="1" t="str">
        <f>IF(ISBLANK(B886),"",VLOOKUP(B886,formules!E:F,2,0))</f>
        <v/>
      </c>
      <c r="E886" s="1" t="str">
        <f t="shared" si="67"/>
        <v/>
      </c>
      <c r="F886" s="17" t="str">
        <f>IF(ISBLANK(B886),"",VLOOKUP(B886,formules!E:K,7,0))</f>
        <v/>
      </c>
      <c r="G886" s="17" t="str">
        <f>IF(ISBLANK(B886),"",VLOOKUP(B886,formules!E:L,8,0))</f>
        <v/>
      </c>
      <c r="H886" s="1" t="str">
        <f t="shared" si="68"/>
        <v/>
      </c>
      <c r="I886" s="1"/>
      <c r="J886" s="1" t="str">
        <f t="shared" si="69"/>
        <v/>
      </c>
    </row>
    <row r="887" spans="1:10" x14ac:dyDescent="0.2">
      <c r="A887" s="1" t="str">
        <f t="shared" si="65"/>
        <v/>
      </c>
      <c r="B887" s="1"/>
      <c r="C887" s="15" t="str">
        <f t="shared" ca="1" si="66"/>
        <v/>
      </c>
      <c r="D887" s="1" t="str">
        <f>IF(ISBLANK(B887),"",VLOOKUP(B887,formules!E:F,2,0))</f>
        <v/>
      </c>
      <c r="E887" s="1" t="str">
        <f t="shared" si="67"/>
        <v/>
      </c>
      <c r="F887" s="17" t="str">
        <f>IF(ISBLANK(B887),"",VLOOKUP(B887,formules!E:K,7,0))</f>
        <v/>
      </c>
      <c r="G887" s="17" t="str">
        <f>IF(ISBLANK(B887),"",VLOOKUP(B887,formules!E:L,8,0))</f>
        <v/>
      </c>
      <c r="H887" s="1" t="str">
        <f t="shared" si="68"/>
        <v/>
      </c>
      <c r="I887" s="1"/>
      <c r="J887" s="1" t="str">
        <f t="shared" si="69"/>
        <v/>
      </c>
    </row>
    <row r="888" spans="1:10" x14ac:dyDescent="0.2">
      <c r="A888" s="1" t="str">
        <f t="shared" si="65"/>
        <v/>
      </c>
      <c r="B888" s="1"/>
      <c r="C888" s="15" t="str">
        <f t="shared" ca="1" si="66"/>
        <v/>
      </c>
      <c r="D888" s="1" t="str">
        <f>IF(ISBLANK(B888),"",VLOOKUP(B888,formules!E:F,2,0))</f>
        <v/>
      </c>
      <c r="E888" s="1" t="str">
        <f t="shared" si="67"/>
        <v/>
      </c>
      <c r="F888" s="17" t="str">
        <f>IF(ISBLANK(B888),"",VLOOKUP(B888,formules!E:K,7,0))</f>
        <v/>
      </c>
      <c r="G888" s="17" t="str">
        <f>IF(ISBLANK(B888),"",VLOOKUP(B888,formules!E:L,8,0))</f>
        <v/>
      </c>
      <c r="H888" s="1" t="str">
        <f t="shared" si="68"/>
        <v/>
      </c>
      <c r="I888" s="1"/>
      <c r="J888" s="1" t="str">
        <f t="shared" si="69"/>
        <v/>
      </c>
    </row>
    <row r="889" spans="1:10" x14ac:dyDescent="0.2">
      <c r="A889" s="1" t="str">
        <f t="shared" si="65"/>
        <v/>
      </c>
      <c r="B889" s="1"/>
      <c r="C889" s="15" t="str">
        <f t="shared" ca="1" si="66"/>
        <v/>
      </c>
      <c r="D889" s="1" t="str">
        <f>IF(ISBLANK(B889),"",VLOOKUP(B889,formules!E:F,2,0))</f>
        <v/>
      </c>
      <c r="E889" s="1" t="str">
        <f t="shared" si="67"/>
        <v/>
      </c>
      <c r="F889" s="17" t="str">
        <f>IF(ISBLANK(B889),"",VLOOKUP(B889,formules!E:K,7,0))</f>
        <v/>
      </c>
      <c r="G889" s="17" t="str">
        <f>IF(ISBLANK(B889),"",VLOOKUP(B889,formules!E:L,8,0))</f>
        <v/>
      </c>
      <c r="H889" s="1" t="str">
        <f t="shared" si="68"/>
        <v/>
      </c>
      <c r="I889" s="1"/>
      <c r="J889" s="1" t="str">
        <f t="shared" si="69"/>
        <v/>
      </c>
    </row>
    <row r="890" spans="1:10" x14ac:dyDescent="0.2">
      <c r="A890" s="1" t="str">
        <f t="shared" si="65"/>
        <v/>
      </c>
      <c r="B890" s="1"/>
      <c r="C890" s="15" t="str">
        <f t="shared" ca="1" si="66"/>
        <v/>
      </c>
      <c r="D890" s="1" t="str">
        <f>IF(ISBLANK(B890),"",VLOOKUP(B890,formules!E:F,2,0))</f>
        <v/>
      </c>
      <c r="E890" s="1" t="str">
        <f t="shared" si="67"/>
        <v/>
      </c>
      <c r="F890" s="17" t="str">
        <f>IF(ISBLANK(B890),"",VLOOKUP(B890,formules!E:K,7,0))</f>
        <v/>
      </c>
      <c r="G890" s="17" t="str">
        <f>IF(ISBLANK(B890),"",VLOOKUP(B890,formules!E:L,8,0))</f>
        <v/>
      </c>
      <c r="H890" s="1" t="str">
        <f t="shared" si="68"/>
        <v/>
      </c>
      <c r="I890" s="1"/>
      <c r="J890" s="1" t="str">
        <f t="shared" si="69"/>
        <v/>
      </c>
    </row>
    <row r="891" spans="1:10" x14ac:dyDescent="0.2">
      <c r="A891" s="1" t="str">
        <f t="shared" si="65"/>
        <v/>
      </c>
      <c r="B891" s="1"/>
      <c r="C891" s="15" t="str">
        <f t="shared" ca="1" si="66"/>
        <v/>
      </c>
      <c r="D891" s="1" t="str">
        <f>IF(ISBLANK(B891),"",VLOOKUP(B891,formules!E:F,2,0))</f>
        <v/>
      </c>
      <c r="E891" s="1" t="str">
        <f t="shared" si="67"/>
        <v/>
      </c>
      <c r="F891" s="17" t="str">
        <f>IF(ISBLANK(B891),"",VLOOKUP(B891,formules!E:K,7,0))</f>
        <v/>
      </c>
      <c r="G891" s="17" t="str">
        <f>IF(ISBLANK(B891),"",VLOOKUP(B891,formules!E:L,8,0))</f>
        <v/>
      </c>
      <c r="H891" s="1" t="str">
        <f t="shared" si="68"/>
        <v/>
      </c>
      <c r="I891" s="1"/>
      <c r="J891" s="1" t="str">
        <f t="shared" si="69"/>
        <v/>
      </c>
    </row>
    <row r="892" spans="1:10" x14ac:dyDescent="0.2">
      <c r="A892" s="1" t="str">
        <f t="shared" si="65"/>
        <v/>
      </c>
      <c r="B892" s="1"/>
      <c r="C892" s="15" t="str">
        <f t="shared" ca="1" si="66"/>
        <v/>
      </c>
      <c r="D892" s="1" t="str">
        <f>IF(ISBLANK(B892),"",VLOOKUP(B892,formules!E:F,2,0))</f>
        <v/>
      </c>
      <c r="E892" s="1" t="str">
        <f t="shared" si="67"/>
        <v/>
      </c>
      <c r="F892" s="17" t="str">
        <f>IF(ISBLANK(B892),"",VLOOKUP(B892,formules!E:K,7,0))</f>
        <v/>
      </c>
      <c r="G892" s="17" t="str">
        <f>IF(ISBLANK(B892),"",VLOOKUP(B892,formules!E:L,8,0))</f>
        <v/>
      </c>
      <c r="H892" s="1" t="str">
        <f t="shared" si="68"/>
        <v/>
      </c>
      <c r="I892" s="1"/>
      <c r="J892" s="1" t="str">
        <f t="shared" si="69"/>
        <v/>
      </c>
    </row>
    <row r="893" spans="1:10" x14ac:dyDescent="0.2">
      <c r="A893" s="1" t="str">
        <f t="shared" si="65"/>
        <v/>
      </c>
      <c r="B893" s="1"/>
      <c r="C893" s="15" t="str">
        <f t="shared" ca="1" si="66"/>
        <v/>
      </c>
      <c r="D893" s="1" t="str">
        <f>IF(ISBLANK(B893),"",VLOOKUP(B893,formules!E:F,2,0))</f>
        <v/>
      </c>
      <c r="E893" s="1" t="str">
        <f t="shared" si="67"/>
        <v/>
      </c>
      <c r="F893" s="17" t="str">
        <f>IF(ISBLANK(B893),"",VLOOKUP(B893,formules!E:K,7,0))</f>
        <v/>
      </c>
      <c r="G893" s="17" t="str">
        <f>IF(ISBLANK(B893),"",VLOOKUP(B893,formules!E:L,8,0))</f>
        <v/>
      </c>
      <c r="H893" s="1" t="str">
        <f t="shared" si="68"/>
        <v/>
      </c>
      <c r="I893" s="1"/>
      <c r="J893" s="1" t="str">
        <f t="shared" si="69"/>
        <v/>
      </c>
    </row>
    <row r="894" spans="1:10" x14ac:dyDescent="0.2">
      <c r="A894" s="1" t="str">
        <f t="shared" si="65"/>
        <v/>
      </c>
      <c r="B894" s="1"/>
      <c r="C894" s="15" t="str">
        <f t="shared" ca="1" si="66"/>
        <v/>
      </c>
      <c r="D894" s="1" t="str">
        <f>IF(ISBLANK(B894),"",VLOOKUP(B894,formules!E:F,2,0))</f>
        <v/>
      </c>
      <c r="E894" s="1" t="str">
        <f t="shared" si="67"/>
        <v/>
      </c>
      <c r="F894" s="17" t="str">
        <f>IF(ISBLANK(B894),"",VLOOKUP(B894,formules!E:K,7,0))</f>
        <v/>
      </c>
      <c r="G894" s="17" t="str">
        <f>IF(ISBLANK(B894),"",VLOOKUP(B894,formules!E:L,8,0))</f>
        <v/>
      </c>
      <c r="H894" s="1" t="str">
        <f t="shared" si="68"/>
        <v/>
      </c>
      <c r="I894" s="1"/>
      <c r="J894" s="1" t="str">
        <f t="shared" si="69"/>
        <v/>
      </c>
    </row>
    <row r="895" spans="1:10" x14ac:dyDescent="0.2">
      <c r="A895" s="1" t="str">
        <f t="shared" si="65"/>
        <v/>
      </c>
      <c r="B895" s="1"/>
      <c r="C895" s="15" t="str">
        <f t="shared" ca="1" si="66"/>
        <v/>
      </c>
      <c r="D895" s="1" t="str">
        <f>IF(ISBLANK(B895),"",VLOOKUP(B895,formules!E:F,2,0))</f>
        <v/>
      </c>
      <c r="E895" s="1" t="str">
        <f t="shared" si="67"/>
        <v/>
      </c>
      <c r="F895" s="17" t="str">
        <f>IF(ISBLANK(B895),"",VLOOKUP(B895,formules!E:K,7,0))</f>
        <v/>
      </c>
      <c r="G895" s="17" t="str">
        <f>IF(ISBLANK(B895),"",VLOOKUP(B895,formules!E:L,8,0))</f>
        <v/>
      </c>
      <c r="H895" s="1" t="str">
        <f t="shared" si="68"/>
        <v/>
      </c>
      <c r="I895" s="1"/>
      <c r="J895" s="1" t="str">
        <f t="shared" si="69"/>
        <v/>
      </c>
    </row>
    <row r="896" spans="1:10" x14ac:dyDescent="0.2">
      <c r="A896" s="1" t="str">
        <f t="shared" si="65"/>
        <v/>
      </c>
      <c r="B896" s="1"/>
      <c r="C896" s="15" t="str">
        <f t="shared" ca="1" si="66"/>
        <v/>
      </c>
      <c r="D896" s="1" t="str">
        <f>IF(ISBLANK(B896),"",VLOOKUP(B896,formules!E:F,2,0))</f>
        <v/>
      </c>
      <c r="E896" s="1" t="str">
        <f t="shared" si="67"/>
        <v/>
      </c>
      <c r="F896" s="17" t="str">
        <f>IF(ISBLANK(B896),"",VLOOKUP(B896,formules!E:K,7,0))</f>
        <v/>
      </c>
      <c r="G896" s="17" t="str">
        <f>IF(ISBLANK(B896),"",VLOOKUP(B896,formules!E:L,8,0))</f>
        <v/>
      </c>
      <c r="H896" s="1" t="str">
        <f t="shared" si="68"/>
        <v/>
      </c>
      <c r="I896" s="1"/>
      <c r="J896" s="1" t="str">
        <f t="shared" si="69"/>
        <v/>
      </c>
    </row>
    <row r="897" spans="1:10" x14ac:dyDescent="0.2">
      <c r="A897" s="1" t="str">
        <f t="shared" si="65"/>
        <v/>
      </c>
      <c r="B897" s="1"/>
      <c r="C897" s="15" t="str">
        <f t="shared" ca="1" si="66"/>
        <v/>
      </c>
      <c r="D897" s="1" t="str">
        <f>IF(ISBLANK(B897),"",VLOOKUP(B897,formules!E:F,2,0))</f>
        <v/>
      </c>
      <c r="E897" s="1" t="str">
        <f t="shared" si="67"/>
        <v/>
      </c>
      <c r="F897" s="17" t="str">
        <f>IF(ISBLANK(B897),"",VLOOKUP(B897,formules!E:K,7,0))</f>
        <v/>
      </c>
      <c r="G897" s="17" t="str">
        <f>IF(ISBLANK(B897),"",VLOOKUP(B897,formules!E:L,8,0))</f>
        <v/>
      </c>
      <c r="H897" s="1" t="str">
        <f t="shared" si="68"/>
        <v/>
      </c>
      <c r="I897" s="1"/>
      <c r="J897" s="1" t="str">
        <f t="shared" si="69"/>
        <v/>
      </c>
    </row>
    <row r="898" spans="1:10" x14ac:dyDescent="0.2">
      <c r="A898" s="1" t="str">
        <f t="shared" si="65"/>
        <v/>
      </c>
      <c r="B898" s="1"/>
      <c r="C898" s="15" t="str">
        <f t="shared" ca="1" si="66"/>
        <v/>
      </c>
      <c r="D898" s="1" t="str">
        <f>IF(ISBLANK(B898),"",VLOOKUP(B898,formules!E:F,2,0))</f>
        <v/>
      </c>
      <c r="E898" s="1" t="str">
        <f t="shared" si="67"/>
        <v/>
      </c>
      <c r="F898" s="17" t="str">
        <f>IF(ISBLANK(B898),"",VLOOKUP(B898,formules!E:K,7,0))</f>
        <v/>
      </c>
      <c r="G898" s="17" t="str">
        <f>IF(ISBLANK(B898),"",VLOOKUP(B898,formules!E:L,8,0))</f>
        <v/>
      </c>
      <c r="H898" s="1" t="str">
        <f t="shared" si="68"/>
        <v/>
      </c>
      <c r="I898" s="1"/>
      <c r="J898" s="1" t="str">
        <f t="shared" si="69"/>
        <v/>
      </c>
    </row>
    <row r="899" spans="1:10" x14ac:dyDescent="0.2">
      <c r="A899" s="1" t="str">
        <f t="shared" ref="A899:A962" si="70">IF(ISBLANK(B899),"","variation")</f>
        <v/>
      </c>
      <c r="B899" s="1"/>
      <c r="C899" s="15" t="str">
        <f t="shared" ref="C899:C962" ca="1" si="71">IF(ISBLANK(B899),"",RANDBETWEEN(1111111111111,9999999999999))</f>
        <v/>
      </c>
      <c r="D899" s="1" t="str">
        <f>IF(ISBLANK(B899),"",VLOOKUP(B899,formules!E:F,2,0))</f>
        <v/>
      </c>
      <c r="E899" s="1" t="str">
        <f t="shared" ref="E899:E962" si="72">IF(ISBLANK(B899),"",1)</f>
        <v/>
      </c>
      <c r="F899" s="17" t="str">
        <f>IF(ISBLANK(B899),"",VLOOKUP(B899,formules!E:K,7,0))</f>
        <v/>
      </c>
      <c r="G899" s="17" t="str">
        <f>IF(ISBLANK(B899),"",VLOOKUP(B899,formules!E:L,8,0))</f>
        <v/>
      </c>
      <c r="H899" s="1" t="str">
        <f t="shared" ref="H899:H962" si="73">IF(ISBLANK(B899),"","Size")</f>
        <v/>
      </c>
      <c r="I899" s="1"/>
      <c r="J899" s="1" t="str">
        <f t="shared" ref="J899:J962" si="74">IF(ISBLANK(B899),"",1)</f>
        <v/>
      </c>
    </row>
    <row r="900" spans="1:10" x14ac:dyDescent="0.2">
      <c r="A900" s="1" t="str">
        <f t="shared" si="70"/>
        <v/>
      </c>
      <c r="B900" s="1"/>
      <c r="C900" s="15" t="str">
        <f t="shared" ca="1" si="71"/>
        <v/>
      </c>
      <c r="D900" s="1" t="str">
        <f>IF(ISBLANK(B900),"",VLOOKUP(B900,formules!E:F,2,0))</f>
        <v/>
      </c>
      <c r="E900" s="1" t="str">
        <f t="shared" si="72"/>
        <v/>
      </c>
      <c r="F900" s="17" t="str">
        <f>IF(ISBLANK(B900),"",VLOOKUP(B900,formules!E:K,7,0))</f>
        <v/>
      </c>
      <c r="G900" s="17" t="str">
        <f>IF(ISBLANK(B900),"",VLOOKUP(B900,formules!E:L,8,0))</f>
        <v/>
      </c>
      <c r="H900" s="1" t="str">
        <f t="shared" si="73"/>
        <v/>
      </c>
      <c r="I900" s="1"/>
      <c r="J900" s="1" t="str">
        <f t="shared" si="74"/>
        <v/>
      </c>
    </row>
    <row r="901" spans="1:10" x14ac:dyDescent="0.2">
      <c r="A901" s="1" t="str">
        <f t="shared" si="70"/>
        <v/>
      </c>
      <c r="B901" s="1"/>
      <c r="C901" s="15" t="str">
        <f t="shared" ca="1" si="71"/>
        <v/>
      </c>
      <c r="D901" s="1" t="str">
        <f>IF(ISBLANK(B901),"",VLOOKUP(B901,formules!E:F,2,0))</f>
        <v/>
      </c>
      <c r="E901" s="1" t="str">
        <f t="shared" si="72"/>
        <v/>
      </c>
      <c r="F901" s="17" t="str">
        <f>IF(ISBLANK(B901),"",VLOOKUP(B901,formules!E:K,7,0))</f>
        <v/>
      </c>
      <c r="G901" s="17" t="str">
        <f>IF(ISBLANK(B901),"",VLOOKUP(B901,formules!E:L,8,0))</f>
        <v/>
      </c>
      <c r="H901" s="1" t="str">
        <f t="shared" si="73"/>
        <v/>
      </c>
      <c r="I901" s="1"/>
      <c r="J901" s="1" t="str">
        <f t="shared" si="74"/>
        <v/>
      </c>
    </row>
    <row r="902" spans="1:10" x14ac:dyDescent="0.2">
      <c r="A902" s="1" t="str">
        <f t="shared" si="70"/>
        <v/>
      </c>
      <c r="B902" s="1"/>
      <c r="C902" s="15" t="str">
        <f t="shared" ca="1" si="71"/>
        <v/>
      </c>
      <c r="D902" s="1" t="str">
        <f>IF(ISBLANK(B902),"",VLOOKUP(B902,formules!E:F,2,0))</f>
        <v/>
      </c>
      <c r="E902" s="1" t="str">
        <f t="shared" si="72"/>
        <v/>
      </c>
      <c r="F902" s="17" t="str">
        <f>IF(ISBLANK(B902),"",VLOOKUP(B902,formules!E:K,7,0))</f>
        <v/>
      </c>
      <c r="G902" s="17" t="str">
        <f>IF(ISBLANK(B902),"",VLOOKUP(B902,formules!E:L,8,0))</f>
        <v/>
      </c>
      <c r="H902" s="1" t="str">
        <f t="shared" si="73"/>
        <v/>
      </c>
      <c r="I902" s="1"/>
      <c r="J902" s="1" t="str">
        <f t="shared" si="74"/>
        <v/>
      </c>
    </row>
    <row r="903" spans="1:10" x14ac:dyDescent="0.2">
      <c r="A903" s="1" t="str">
        <f t="shared" si="70"/>
        <v/>
      </c>
      <c r="B903" s="1"/>
      <c r="C903" s="15" t="str">
        <f t="shared" ca="1" si="71"/>
        <v/>
      </c>
      <c r="D903" s="1" t="str">
        <f>IF(ISBLANK(B903),"",VLOOKUP(B903,formules!E:F,2,0))</f>
        <v/>
      </c>
      <c r="E903" s="1" t="str">
        <f t="shared" si="72"/>
        <v/>
      </c>
      <c r="F903" s="17" t="str">
        <f>IF(ISBLANK(B903),"",VLOOKUP(B903,formules!E:K,7,0))</f>
        <v/>
      </c>
      <c r="G903" s="17" t="str">
        <f>IF(ISBLANK(B903),"",VLOOKUP(B903,formules!E:L,8,0))</f>
        <v/>
      </c>
      <c r="H903" s="1" t="str">
        <f t="shared" si="73"/>
        <v/>
      </c>
      <c r="I903" s="1"/>
      <c r="J903" s="1" t="str">
        <f t="shared" si="74"/>
        <v/>
      </c>
    </row>
    <row r="904" spans="1:10" x14ac:dyDescent="0.2">
      <c r="A904" s="1" t="str">
        <f t="shared" si="70"/>
        <v/>
      </c>
      <c r="B904" s="1"/>
      <c r="C904" s="15" t="str">
        <f t="shared" ca="1" si="71"/>
        <v/>
      </c>
      <c r="D904" s="1" t="str">
        <f>IF(ISBLANK(B904),"",VLOOKUP(B904,formules!E:F,2,0))</f>
        <v/>
      </c>
      <c r="E904" s="1" t="str">
        <f t="shared" si="72"/>
        <v/>
      </c>
      <c r="F904" s="17" t="str">
        <f>IF(ISBLANK(B904),"",VLOOKUP(B904,formules!E:K,7,0))</f>
        <v/>
      </c>
      <c r="G904" s="17" t="str">
        <f>IF(ISBLANK(B904),"",VLOOKUP(B904,formules!E:L,8,0))</f>
        <v/>
      </c>
      <c r="H904" s="1" t="str">
        <f t="shared" si="73"/>
        <v/>
      </c>
      <c r="I904" s="1"/>
      <c r="J904" s="1" t="str">
        <f t="shared" si="74"/>
        <v/>
      </c>
    </row>
    <row r="905" spans="1:10" x14ac:dyDescent="0.2">
      <c r="A905" s="1" t="str">
        <f t="shared" si="70"/>
        <v/>
      </c>
      <c r="B905" s="1"/>
      <c r="C905" s="15" t="str">
        <f t="shared" ca="1" si="71"/>
        <v/>
      </c>
      <c r="D905" s="1" t="str">
        <f>IF(ISBLANK(B905),"",VLOOKUP(B905,formules!E:F,2,0))</f>
        <v/>
      </c>
      <c r="E905" s="1" t="str">
        <f t="shared" si="72"/>
        <v/>
      </c>
      <c r="F905" s="17" t="str">
        <f>IF(ISBLANK(B905),"",VLOOKUP(B905,formules!E:K,7,0))</f>
        <v/>
      </c>
      <c r="G905" s="17" t="str">
        <f>IF(ISBLANK(B905),"",VLOOKUP(B905,formules!E:L,8,0))</f>
        <v/>
      </c>
      <c r="H905" s="1" t="str">
        <f t="shared" si="73"/>
        <v/>
      </c>
      <c r="I905" s="1"/>
      <c r="J905" s="1" t="str">
        <f t="shared" si="74"/>
        <v/>
      </c>
    </row>
    <row r="906" spans="1:10" x14ac:dyDescent="0.2">
      <c r="A906" s="1" t="str">
        <f t="shared" si="70"/>
        <v/>
      </c>
      <c r="B906" s="1"/>
      <c r="C906" s="15" t="str">
        <f t="shared" ca="1" si="71"/>
        <v/>
      </c>
      <c r="D906" s="1" t="str">
        <f>IF(ISBLANK(B906),"",VLOOKUP(B906,formules!E:F,2,0))</f>
        <v/>
      </c>
      <c r="E906" s="1" t="str">
        <f t="shared" si="72"/>
        <v/>
      </c>
      <c r="F906" s="17" t="str">
        <f>IF(ISBLANK(B906),"",VLOOKUP(B906,formules!E:K,7,0))</f>
        <v/>
      </c>
      <c r="G906" s="17" t="str">
        <f>IF(ISBLANK(B906),"",VLOOKUP(B906,formules!E:L,8,0))</f>
        <v/>
      </c>
      <c r="H906" s="1" t="str">
        <f t="shared" si="73"/>
        <v/>
      </c>
      <c r="I906" s="1"/>
      <c r="J906" s="1" t="str">
        <f t="shared" si="74"/>
        <v/>
      </c>
    </row>
    <row r="907" spans="1:10" x14ac:dyDescent="0.2">
      <c r="A907" s="1" t="str">
        <f t="shared" si="70"/>
        <v/>
      </c>
      <c r="B907" s="1"/>
      <c r="C907" s="15" t="str">
        <f t="shared" ca="1" si="71"/>
        <v/>
      </c>
      <c r="D907" s="1" t="str">
        <f>IF(ISBLANK(B907),"",VLOOKUP(B907,formules!E:F,2,0))</f>
        <v/>
      </c>
      <c r="E907" s="1" t="str">
        <f t="shared" si="72"/>
        <v/>
      </c>
      <c r="F907" s="17" t="str">
        <f>IF(ISBLANK(B907),"",VLOOKUP(B907,formules!E:K,7,0))</f>
        <v/>
      </c>
      <c r="G907" s="17" t="str">
        <f>IF(ISBLANK(B907),"",VLOOKUP(B907,formules!E:L,8,0))</f>
        <v/>
      </c>
      <c r="H907" s="1" t="str">
        <f t="shared" si="73"/>
        <v/>
      </c>
      <c r="I907" s="1"/>
      <c r="J907" s="1" t="str">
        <f t="shared" si="74"/>
        <v/>
      </c>
    </row>
    <row r="908" spans="1:10" x14ac:dyDescent="0.2">
      <c r="A908" s="1" t="str">
        <f t="shared" si="70"/>
        <v/>
      </c>
      <c r="B908" s="1"/>
      <c r="C908" s="15" t="str">
        <f t="shared" ca="1" si="71"/>
        <v/>
      </c>
      <c r="D908" s="1" t="str">
        <f>IF(ISBLANK(B908),"",VLOOKUP(B908,formules!E:F,2,0))</f>
        <v/>
      </c>
      <c r="E908" s="1" t="str">
        <f t="shared" si="72"/>
        <v/>
      </c>
      <c r="F908" s="17" t="str">
        <f>IF(ISBLANK(B908),"",VLOOKUP(B908,formules!E:K,7,0))</f>
        <v/>
      </c>
      <c r="G908" s="17" t="str">
        <f>IF(ISBLANK(B908),"",VLOOKUP(B908,formules!E:L,8,0))</f>
        <v/>
      </c>
      <c r="H908" s="1" t="str">
        <f t="shared" si="73"/>
        <v/>
      </c>
      <c r="I908" s="1"/>
      <c r="J908" s="1" t="str">
        <f t="shared" si="74"/>
        <v/>
      </c>
    </row>
    <row r="909" spans="1:10" x14ac:dyDescent="0.2">
      <c r="A909" s="1" t="str">
        <f t="shared" si="70"/>
        <v/>
      </c>
      <c r="B909" s="1"/>
      <c r="C909" s="15" t="str">
        <f t="shared" ca="1" si="71"/>
        <v/>
      </c>
      <c r="D909" s="1" t="str">
        <f>IF(ISBLANK(B909),"",VLOOKUP(B909,formules!E:F,2,0))</f>
        <v/>
      </c>
      <c r="E909" s="1" t="str">
        <f t="shared" si="72"/>
        <v/>
      </c>
      <c r="F909" s="17" t="str">
        <f>IF(ISBLANK(B909),"",VLOOKUP(B909,formules!E:K,7,0))</f>
        <v/>
      </c>
      <c r="G909" s="17" t="str">
        <f>IF(ISBLANK(B909),"",VLOOKUP(B909,formules!E:L,8,0))</f>
        <v/>
      </c>
      <c r="H909" s="1" t="str">
        <f t="shared" si="73"/>
        <v/>
      </c>
      <c r="I909" s="1"/>
      <c r="J909" s="1" t="str">
        <f t="shared" si="74"/>
        <v/>
      </c>
    </row>
    <row r="910" spans="1:10" x14ac:dyDescent="0.2">
      <c r="A910" s="1" t="str">
        <f t="shared" si="70"/>
        <v/>
      </c>
      <c r="B910" s="1"/>
      <c r="C910" s="15" t="str">
        <f t="shared" ca="1" si="71"/>
        <v/>
      </c>
      <c r="D910" s="1" t="str">
        <f>IF(ISBLANK(B910),"",VLOOKUP(B910,formules!E:F,2,0))</f>
        <v/>
      </c>
      <c r="E910" s="1" t="str">
        <f t="shared" si="72"/>
        <v/>
      </c>
      <c r="F910" s="17" t="str">
        <f>IF(ISBLANK(B910),"",VLOOKUP(B910,formules!E:K,7,0))</f>
        <v/>
      </c>
      <c r="G910" s="17" t="str">
        <f>IF(ISBLANK(B910),"",VLOOKUP(B910,formules!E:L,8,0))</f>
        <v/>
      </c>
      <c r="H910" s="1" t="str">
        <f t="shared" si="73"/>
        <v/>
      </c>
      <c r="I910" s="1"/>
      <c r="J910" s="1" t="str">
        <f t="shared" si="74"/>
        <v/>
      </c>
    </row>
    <row r="911" spans="1:10" x14ac:dyDescent="0.2">
      <c r="A911" s="1" t="str">
        <f t="shared" si="70"/>
        <v/>
      </c>
      <c r="B911" s="1"/>
      <c r="C911" s="15" t="str">
        <f t="shared" ca="1" si="71"/>
        <v/>
      </c>
      <c r="D911" s="1" t="str">
        <f>IF(ISBLANK(B911),"",VLOOKUP(B911,formules!E:F,2,0))</f>
        <v/>
      </c>
      <c r="E911" s="1" t="str">
        <f t="shared" si="72"/>
        <v/>
      </c>
      <c r="F911" s="17" t="str">
        <f>IF(ISBLANK(B911),"",VLOOKUP(B911,formules!E:K,7,0))</f>
        <v/>
      </c>
      <c r="G911" s="17" t="str">
        <f>IF(ISBLANK(B911),"",VLOOKUP(B911,formules!E:L,8,0))</f>
        <v/>
      </c>
      <c r="H911" s="1" t="str">
        <f t="shared" si="73"/>
        <v/>
      </c>
      <c r="I911" s="1"/>
      <c r="J911" s="1" t="str">
        <f t="shared" si="74"/>
        <v/>
      </c>
    </row>
    <row r="912" spans="1:10" x14ac:dyDescent="0.2">
      <c r="A912" s="1" t="str">
        <f t="shared" si="70"/>
        <v/>
      </c>
      <c r="B912" s="1"/>
      <c r="C912" s="15" t="str">
        <f t="shared" ca="1" si="71"/>
        <v/>
      </c>
      <c r="D912" s="1" t="str">
        <f>IF(ISBLANK(B912),"",VLOOKUP(B912,formules!E:F,2,0))</f>
        <v/>
      </c>
      <c r="E912" s="1" t="str">
        <f t="shared" si="72"/>
        <v/>
      </c>
      <c r="F912" s="17" t="str">
        <f>IF(ISBLANK(B912),"",VLOOKUP(B912,formules!E:K,7,0))</f>
        <v/>
      </c>
      <c r="G912" s="17" t="str">
        <f>IF(ISBLANK(B912),"",VLOOKUP(B912,formules!E:L,8,0))</f>
        <v/>
      </c>
      <c r="H912" s="1" t="str">
        <f t="shared" si="73"/>
        <v/>
      </c>
      <c r="I912" s="1"/>
      <c r="J912" s="1" t="str">
        <f t="shared" si="74"/>
        <v/>
      </c>
    </row>
    <row r="913" spans="1:10" x14ac:dyDescent="0.2">
      <c r="A913" s="1" t="str">
        <f t="shared" si="70"/>
        <v/>
      </c>
      <c r="B913" s="1"/>
      <c r="C913" s="15" t="str">
        <f t="shared" ca="1" si="71"/>
        <v/>
      </c>
      <c r="D913" s="1" t="str">
        <f>IF(ISBLANK(B913),"",VLOOKUP(B913,formules!E:F,2,0))</f>
        <v/>
      </c>
      <c r="E913" s="1" t="str">
        <f t="shared" si="72"/>
        <v/>
      </c>
      <c r="F913" s="17" t="str">
        <f>IF(ISBLANK(B913),"",VLOOKUP(B913,formules!E:K,7,0))</f>
        <v/>
      </c>
      <c r="G913" s="17" t="str">
        <f>IF(ISBLANK(B913),"",VLOOKUP(B913,formules!E:L,8,0))</f>
        <v/>
      </c>
      <c r="H913" s="1" t="str">
        <f t="shared" si="73"/>
        <v/>
      </c>
      <c r="I913" s="1"/>
      <c r="J913" s="1" t="str">
        <f t="shared" si="74"/>
        <v/>
      </c>
    </row>
    <row r="914" spans="1:10" x14ac:dyDescent="0.2">
      <c r="A914" s="1" t="str">
        <f t="shared" si="70"/>
        <v/>
      </c>
      <c r="B914" s="1"/>
      <c r="C914" s="15" t="str">
        <f t="shared" ca="1" si="71"/>
        <v/>
      </c>
      <c r="D914" s="1" t="str">
        <f>IF(ISBLANK(B914),"",VLOOKUP(B914,formules!E:F,2,0))</f>
        <v/>
      </c>
      <c r="E914" s="1" t="str">
        <f t="shared" si="72"/>
        <v/>
      </c>
      <c r="F914" s="17" t="str">
        <f>IF(ISBLANK(B914),"",VLOOKUP(B914,formules!E:K,7,0))</f>
        <v/>
      </c>
      <c r="G914" s="17" t="str">
        <f>IF(ISBLANK(B914),"",VLOOKUP(B914,formules!E:L,8,0))</f>
        <v/>
      </c>
      <c r="H914" s="1" t="str">
        <f t="shared" si="73"/>
        <v/>
      </c>
      <c r="I914" s="1"/>
      <c r="J914" s="1" t="str">
        <f t="shared" si="74"/>
        <v/>
      </c>
    </row>
    <row r="915" spans="1:10" x14ac:dyDescent="0.2">
      <c r="A915" s="1" t="str">
        <f t="shared" si="70"/>
        <v/>
      </c>
      <c r="B915" s="1"/>
      <c r="C915" s="15" t="str">
        <f t="shared" ca="1" si="71"/>
        <v/>
      </c>
      <c r="D915" s="1" t="str">
        <f>IF(ISBLANK(B915),"",VLOOKUP(B915,formules!E:F,2,0))</f>
        <v/>
      </c>
      <c r="E915" s="1" t="str">
        <f t="shared" si="72"/>
        <v/>
      </c>
      <c r="F915" s="17" t="str">
        <f>IF(ISBLANK(B915),"",VLOOKUP(B915,formules!E:K,7,0))</f>
        <v/>
      </c>
      <c r="G915" s="17" t="str">
        <f>IF(ISBLANK(B915),"",VLOOKUP(B915,formules!E:L,8,0))</f>
        <v/>
      </c>
      <c r="H915" s="1" t="str">
        <f t="shared" si="73"/>
        <v/>
      </c>
      <c r="I915" s="1"/>
      <c r="J915" s="1" t="str">
        <f t="shared" si="74"/>
        <v/>
      </c>
    </row>
    <row r="916" spans="1:10" x14ac:dyDescent="0.2">
      <c r="A916" s="1" t="str">
        <f t="shared" si="70"/>
        <v/>
      </c>
      <c r="B916" s="1"/>
      <c r="C916" s="15" t="str">
        <f t="shared" ca="1" si="71"/>
        <v/>
      </c>
      <c r="D916" s="1" t="str">
        <f>IF(ISBLANK(B916),"",VLOOKUP(B916,formules!E:F,2,0))</f>
        <v/>
      </c>
      <c r="E916" s="1" t="str">
        <f t="shared" si="72"/>
        <v/>
      </c>
      <c r="F916" s="17" t="str">
        <f>IF(ISBLANK(B916),"",VLOOKUP(B916,formules!E:K,7,0))</f>
        <v/>
      </c>
      <c r="G916" s="17" t="str">
        <f>IF(ISBLANK(B916),"",VLOOKUP(B916,formules!E:L,8,0))</f>
        <v/>
      </c>
      <c r="H916" s="1" t="str">
        <f t="shared" si="73"/>
        <v/>
      </c>
      <c r="I916" s="1"/>
      <c r="J916" s="1" t="str">
        <f t="shared" si="74"/>
        <v/>
      </c>
    </row>
    <row r="917" spans="1:10" x14ac:dyDescent="0.2">
      <c r="A917" s="1" t="str">
        <f t="shared" si="70"/>
        <v/>
      </c>
      <c r="B917" s="1"/>
      <c r="C917" s="15" t="str">
        <f t="shared" ca="1" si="71"/>
        <v/>
      </c>
      <c r="D917" s="1" t="str">
        <f>IF(ISBLANK(B917),"",VLOOKUP(B917,formules!E:F,2,0))</f>
        <v/>
      </c>
      <c r="E917" s="1" t="str">
        <f t="shared" si="72"/>
        <v/>
      </c>
      <c r="F917" s="17" t="str">
        <f>IF(ISBLANK(B917),"",VLOOKUP(B917,formules!E:K,7,0))</f>
        <v/>
      </c>
      <c r="G917" s="17" t="str">
        <f>IF(ISBLANK(B917),"",VLOOKUP(B917,formules!E:L,8,0))</f>
        <v/>
      </c>
      <c r="H917" s="1" t="str">
        <f t="shared" si="73"/>
        <v/>
      </c>
      <c r="I917" s="1"/>
      <c r="J917" s="1" t="str">
        <f t="shared" si="74"/>
        <v/>
      </c>
    </row>
    <row r="918" spans="1:10" x14ac:dyDescent="0.2">
      <c r="A918" s="1" t="str">
        <f t="shared" si="70"/>
        <v/>
      </c>
      <c r="B918" s="1"/>
      <c r="C918" s="15" t="str">
        <f t="shared" ca="1" si="71"/>
        <v/>
      </c>
      <c r="D918" s="1" t="str">
        <f>IF(ISBLANK(B918),"",VLOOKUP(B918,formules!E:F,2,0))</f>
        <v/>
      </c>
      <c r="E918" s="1" t="str">
        <f t="shared" si="72"/>
        <v/>
      </c>
      <c r="F918" s="17" t="str">
        <f>IF(ISBLANK(B918),"",VLOOKUP(B918,formules!E:K,7,0))</f>
        <v/>
      </c>
      <c r="G918" s="17" t="str">
        <f>IF(ISBLANK(B918),"",VLOOKUP(B918,formules!E:L,8,0))</f>
        <v/>
      </c>
      <c r="H918" s="1" t="str">
        <f t="shared" si="73"/>
        <v/>
      </c>
      <c r="I918" s="1"/>
      <c r="J918" s="1" t="str">
        <f t="shared" si="74"/>
        <v/>
      </c>
    </row>
    <row r="919" spans="1:10" x14ac:dyDescent="0.2">
      <c r="A919" s="1" t="str">
        <f t="shared" si="70"/>
        <v/>
      </c>
      <c r="B919" s="1"/>
      <c r="C919" s="15" t="str">
        <f t="shared" ca="1" si="71"/>
        <v/>
      </c>
      <c r="D919" s="1" t="str">
        <f>IF(ISBLANK(B919),"",VLOOKUP(B919,formules!E:F,2,0))</f>
        <v/>
      </c>
      <c r="E919" s="1" t="str">
        <f t="shared" si="72"/>
        <v/>
      </c>
      <c r="F919" s="17" t="str">
        <f>IF(ISBLANK(B919),"",VLOOKUP(B919,formules!E:K,7,0))</f>
        <v/>
      </c>
      <c r="G919" s="17" t="str">
        <f>IF(ISBLANK(B919),"",VLOOKUP(B919,formules!E:L,8,0))</f>
        <v/>
      </c>
      <c r="H919" s="1" t="str">
        <f t="shared" si="73"/>
        <v/>
      </c>
      <c r="I919" s="1"/>
      <c r="J919" s="1" t="str">
        <f t="shared" si="74"/>
        <v/>
      </c>
    </row>
    <row r="920" spans="1:10" x14ac:dyDescent="0.2">
      <c r="A920" s="1" t="str">
        <f t="shared" si="70"/>
        <v/>
      </c>
      <c r="B920" s="1"/>
      <c r="C920" s="15" t="str">
        <f t="shared" ca="1" si="71"/>
        <v/>
      </c>
      <c r="D920" s="1" t="str">
        <f>IF(ISBLANK(B920),"",VLOOKUP(B920,formules!E:F,2,0))</f>
        <v/>
      </c>
      <c r="E920" s="1" t="str">
        <f t="shared" si="72"/>
        <v/>
      </c>
      <c r="F920" s="17" t="str">
        <f>IF(ISBLANK(B920),"",VLOOKUP(B920,formules!E:K,7,0))</f>
        <v/>
      </c>
      <c r="G920" s="17" t="str">
        <f>IF(ISBLANK(B920),"",VLOOKUP(B920,formules!E:L,8,0))</f>
        <v/>
      </c>
      <c r="H920" s="1" t="str">
        <f t="shared" si="73"/>
        <v/>
      </c>
      <c r="I920" s="1"/>
      <c r="J920" s="1" t="str">
        <f t="shared" si="74"/>
        <v/>
      </c>
    </row>
    <row r="921" spans="1:10" x14ac:dyDescent="0.2">
      <c r="A921" s="1" t="str">
        <f t="shared" si="70"/>
        <v/>
      </c>
      <c r="B921" s="1"/>
      <c r="C921" s="15" t="str">
        <f t="shared" ca="1" si="71"/>
        <v/>
      </c>
      <c r="D921" s="1" t="str">
        <f>IF(ISBLANK(B921),"",VLOOKUP(B921,formules!E:F,2,0))</f>
        <v/>
      </c>
      <c r="E921" s="1" t="str">
        <f t="shared" si="72"/>
        <v/>
      </c>
      <c r="F921" s="17" t="str">
        <f>IF(ISBLANK(B921),"",VLOOKUP(B921,formules!E:K,7,0))</f>
        <v/>
      </c>
      <c r="G921" s="17" t="str">
        <f>IF(ISBLANK(B921),"",VLOOKUP(B921,formules!E:L,8,0))</f>
        <v/>
      </c>
      <c r="H921" s="1" t="str">
        <f t="shared" si="73"/>
        <v/>
      </c>
      <c r="I921" s="1"/>
      <c r="J921" s="1" t="str">
        <f t="shared" si="74"/>
        <v/>
      </c>
    </row>
    <row r="922" spans="1:10" x14ac:dyDescent="0.2">
      <c r="A922" s="1" t="str">
        <f t="shared" si="70"/>
        <v/>
      </c>
      <c r="B922" s="1"/>
      <c r="C922" s="15" t="str">
        <f t="shared" ca="1" si="71"/>
        <v/>
      </c>
      <c r="D922" s="1" t="str">
        <f>IF(ISBLANK(B922),"",VLOOKUP(B922,formules!E:F,2,0))</f>
        <v/>
      </c>
      <c r="E922" s="1" t="str">
        <f t="shared" si="72"/>
        <v/>
      </c>
      <c r="F922" s="17" t="str">
        <f>IF(ISBLANK(B922),"",VLOOKUP(B922,formules!E:K,7,0))</f>
        <v/>
      </c>
      <c r="G922" s="17" t="str">
        <f>IF(ISBLANK(B922),"",VLOOKUP(B922,formules!E:L,8,0))</f>
        <v/>
      </c>
      <c r="H922" s="1" t="str">
        <f t="shared" si="73"/>
        <v/>
      </c>
      <c r="I922" s="1"/>
      <c r="J922" s="1" t="str">
        <f t="shared" si="74"/>
        <v/>
      </c>
    </row>
    <row r="923" spans="1:10" x14ac:dyDescent="0.2">
      <c r="A923" s="1" t="str">
        <f t="shared" si="70"/>
        <v/>
      </c>
      <c r="B923" s="1"/>
      <c r="C923" s="15" t="str">
        <f t="shared" ca="1" si="71"/>
        <v/>
      </c>
      <c r="D923" s="1" t="str">
        <f>IF(ISBLANK(B923),"",VLOOKUP(B923,formules!E:F,2,0))</f>
        <v/>
      </c>
      <c r="E923" s="1" t="str">
        <f t="shared" si="72"/>
        <v/>
      </c>
      <c r="F923" s="17" t="str">
        <f>IF(ISBLANK(B923),"",VLOOKUP(B923,formules!E:K,7,0))</f>
        <v/>
      </c>
      <c r="G923" s="17" t="str">
        <f>IF(ISBLANK(B923),"",VLOOKUP(B923,formules!E:L,8,0))</f>
        <v/>
      </c>
      <c r="H923" s="1" t="str">
        <f t="shared" si="73"/>
        <v/>
      </c>
      <c r="I923" s="1"/>
      <c r="J923" s="1" t="str">
        <f t="shared" si="74"/>
        <v/>
      </c>
    </row>
    <row r="924" spans="1:10" x14ac:dyDescent="0.2">
      <c r="A924" s="1" t="str">
        <f t="shared" si="70"/>
        <v/>
      </c>
      <c r="B924" s="1"/>
      <c r="C924" s="15" t="str">
        <f t="shared" ca="1" si="71"/>
        <v/>
      </c>
      <c r="D924" s="1" t="str">
        <f>IF(ISBLANK(B924),"",VLOOKUP(B924,formules!E:F,2,0))</f>
        <v/>
      </c>
      <c r="E924" s="1" t="str">
        <f t="shared" si="72"/>
        <v/>
      </c>
      <c r="F924" s="17" t="str">
        <f>IF(ISBLANK(B924),"",VLOOKUP(B924,formules!E:K,7,0))</f>
        <v/>
      </c>
      <c r="G924" s="17" t="str">
        <f>IF(ISBLANK(B924),"",VLOOKUP(B924,formules!E:L,8,0))</f>
        <v/>
      </c>
      <c r="H924" s="1" t="str">
        <f t="shared" si="73"/>
        <v/>
      </c>
      <c r="I924" s="1"/>
      <c r="J924" s="1" t="str">
        <f t="shared" si="74"/>
        <v/>
      </c>
    </row>
    <row r="925" spans="1:10" x14ac:dyDescent="0.2">
      <c r="A925" s="1" t="str">
        <f t="shared" si="70"/>
        <v/>
      </c>
      <c r="B925" s="1"/>
      <c r="C925" s="15" t="str">
        <f t="shared" ca="1" si="71"/>
        <v/>
      </c>
      <c r="D925" s="1" t="str">
        <f>IF(ISBLANK(B925),"",VLOOKUP(B925,formules!E:F,2,0))</f>
        <v/>
      </c>
      <c r="E925" s="1" t="str">
        <f t="shared" si="72"/>
        <v/>
      </c>
      <c r="F925" s="17" t="str">
        <f>IF(ISBLANK(B925),"",VLOOKUP(B925,formules!E:K,7,0))</f>
        <v/>
      </c>
      <c r="G925" s="17" t="str">
        <f>IF(ISBLANK(B925),"",VLOOKUP(B925,formules!E:L,8,0))</f>
        <v/>
      </c>
      <c r="H925" s="1" t="str">
        <f t="shared" si="73"/>
        <v/>
      </c>
      <c r="I925" s="1"/>
      <c r="J925" s="1" t="str">
        <f t="shared" si="74"/>
        <v/>
      </c>
    </row>
    <row r="926" spans="1:10" x14ac:dyDescent="0.2">
      <c r="A926" s="1" t="str">
        <f t="shared" si="70"/>
        <v/>
      </c>
      <c r="B926" s="1"/>
      <c r="C926" s="15" t="str">
        <f t="shared" ca="1" si="71"/>
        <v/>
      </c>
      <c r="D926" s="1" t="str">
        <f>IF(ISBLANK(B926),"",VLOOKUP(B926,formules!E:F,2,0))</f>
        <v/>
      </c>
      <c r="E926" s="1" t="str">
        <f t="shared" si="72"/>
        <v/>
      </c>
      <c r="F926" s="17" t="str">
        <f>IF(ISBLANK(B926),"",VLOOKUP(B926,formules!E:K,7,0))</f>
        <v/>
      </c>
      <c r="G926" s="17" t="str">
        <f>IF(ISBLANK(B926),"",VLOOKUP(B926,formules!E:L,8,0))</f>
        <v/>
      </c>
      <c r="H926" s="1" t="str">
        <f t="shared" si="73"/>
        <v/>
      </c>
      <c r="I926" s="1"/>
      <c r="J926" s="1" t="str">
        <f t="shared" si="74"/>
        <v/>
      </c>
    </row>
    <row r="927" spans="1:10" x14ac:dyDescent="0.2">
      <c r="A927" s="1" t="str">
        <f t="shared" si="70"/>
        <v/>
      </c>
      <c r="B927" s="1"/>
      <c r="C927" s="15" t="str">
        <f t="shared" ca="1" si="71"/>
        <v/>
      </c>
      <c r="D927" s="1" t="str">
        <f>IF(ISBLANK(B927),"",VLOOKUP(B927,formules!E:F,2,0))</f>
        <v/>
      </c>
      <c r="E927" s="1" t="str">
        <f t="shared" si="72"/>
        <v/>
      </c>
      <c r="F927" s="17" t="str">
        <f>IF(ISBLANK(B927),"",VLOOKUP(B927,formules!E:K,7,0))</f>
        <v/>
      </c>
      <c r="G927" s="17" t="str">
        <f>IF(ISBLANK(B927),"",VLOOKUP(B927,formules!E:L,8,0))</f>
        <v/>
      </c>
      <c r="H927" s="1" t="str">
        <f t="shared" si="73"/>
        <v/>
      </c>
      <c r="I927" s="1"/>
      <c r="J927" s="1" t="str">
        <f t="shared" si="74"/>
        <v/>
      </c>
    </row>
    <row r="928" spans="1:10" x14ac:dyDescent="0.2">
      <c r="A928" s="1" t="str">
        <f t="shared" si="70"/>
        <v/>
      </c>
      <c r="B928" s="1"/>
      <c r="C928" s="15" t="str">
        <f t="shared" ca="1" si="71"/>
        <v/>
      </c>
      <c r="D928" s="1" t="str">
        <f>IF(ISBLANK(B928),"",VLOOKUP(B928,formules!E:F,2,0))</f>
        <v/>
      </c>
      <c r="E928" s="1" t="str">
        <f t="shared" si="72"/>
        <v/>
      </c>
      <c r="F928" s="17" t="str">
        <f>IF(ISBLANK(B928),"",VLOOKUP(B928,formules!E:K,7,0))</f>
        <v/>
      </c>
      <c r="G928" s="17" t="str">
        <f>IF(ISBLANK(B928),"",VLOOKUP(B928,formules!E:L,8,0))</f>
        <v/>
      </c>
      <c r="H928" s="1" t="str">
        <f t="shared" si="73"/>
        <v/>
      </c>
      <c r="I928" s="1"/>
      <c r="J928" s="1" t="str">
        <f t="shared" si="74"/>
        <v/>
      </c>
    </row>
    <row r="929" spans="1:10" x14ac:dyDescent="0.2">
      <c r="A929" s="1" t="str">
        <f t="shared" si="70"/>
        <v/>
      </c>
      <c r="B929" s="1"/>
      <c r="C929" s="15" t="str">
        <f t="shared" ca="1" si="71"/>
        <v/>
      </c>
      <c r="D929" s="1" t="str">
        <f>IF(ISBLANK(B929),"",VLOOKUP(B929,formules!E:F,2,0))</f>
        <v/>
      </c>
      <c r="E929" s="1" t="str">
        <f t="shared" si="72"/>
        <v/>
      </c>
      <c r="F929" s="17" t="str">
        <f>IF(ISBLANK(B929),"",VLOOKUP(B929,formules!E:K,7,0))</f>
        <v/>
      </c>
      <c r="G929" s="17" t="str">
        <f>IF(ISBLANK(B929),"",VLOOKUP(B929,formules!E:L,8,0))</f>
        <v/>
      </c>
      <c r="H929" s="1" t="str">
        <f t="shared" si="73"/>
        <v/>
      </c>
      <c r="I929" s="1"/>
      <c r="J929" s="1" t="str">
        <f t="shared" si="74"/>
        <v/>
      </c>
    </row>
    <row r="930" spans="1:10" x14ac:dyDescent="0.2">
      <c r="A930" s="1" t="str">
        <f t="shared" si="70"/>
        <v/>
      </c>
      <c r="B930" s="1"/>
      <c r="C930" s="15" t="str">
        <f t="shared" ca="1" si="71"/>
        <v/>
      </c>
      <c r="D930" s="1" t="str">
        <f>IF(ISBLANK(B930),"",VLOOKUP(B930,formules!E:F,2,0))</f>
        <v/>
      </c>
      <c r="E930" s="1" t="str">
        <f t="shared" si="72"/>
        <v/>
      </c>
      <c r="F930" s="17" t="str">
        <f>IF(ISBLANK(B930),"",VLOOKUP(B930,formules!E:K,7,0))</f>
        <v/>
      </c>
      <c r="G930" s="17" t="str">
        <f>IF(ISBLANK(B930),"",VLOOKUP(B930,formules!E:L,8,0))</f>
        <v/>
      </c>
      <c r="H930" s="1" t="str">
        <f t="shared" si="73"/>
        <v/>
      </c>
      <c r="I930" s="1"/>
      <c r="J930" s="1" t="str">
        <f t="shared" si="74"/>
        <v/>
      </c>
    </row>
    <row r="931" spans="1:10" x14ac:dyDescent="0.2">
      <c r="A931" s="1" t="str">
        <f t="shared" si="70"/>
        <v/>
      </c>
      <c r="B931" s="1"/>
      <c r="C931" s="15" t="str">
        <f t="shared" ca="1" si="71"/>
        <v/>
      </c>
      <c r="D931" s="1" t="str">
        <f>IF(ISBLANK(B931),"",VLOOKUP(B931,formules!E:F,2,0))</f>
        <v/>
      </c>
      <c r="E931" s="1" t="str">
        <f t="shared" si="72"/>
        <v/>
      </c>
      <c r="F931" s="17" t="str">
        <f>IF(ISBLANK(B931),"",VLOOKUP(B931,formules!E:K,7,0))</f>
        <v/>
      </c>
      <c r="G931" s="17" t="str">
        <f>IF(ISBLANK(B931),"",VLOOKUP(B931,formules!E:L,8,0))</f>
        <v/>
      </c>
      <c r="H931" s="1" t="str">
        <f t="shared" si="73"/>
        <v/>
      </c>
      <c r="I931" s="1"/>
      <c r="J931" s="1" t="str">
        <f t="shared" si="74"/>
        <v/>
      </c>
    </row>
    <row r="932" spans="1:10" x14ac:dyDescent="0.2">
      <c r="A932" s="1" t="str">
        <f t="shared" si="70"/>
        <v/>
      </c>
      <c r="B932" s="1"/>
      <c r="C932" s="15" t="str">
        <f t="shared" ca="1" si="71"/>
        <v/>
      </c>
      <c r="D932" s="1" t="str">
        <f>IF(ISBLANK(B932),"",VLOOKUP(B932,formules!E:F,2,0))</f>
        <v/>
      </c>
      <c r="E932" s="1" t="str">
        <f t="shared" si="72"/>
        <v/>
      </c>
      <c r="F932" s="17" t="str">
        <f>IF(ISBLANK(B932),"",VLOOKUP(B932,formules!E:K,7,0))</f>
        <v/>
      </c>
      <c r="G932" s="17" t="str">
        <f>IF(ISBLANK(B932),"",VLOOKUP(B932,formules!E:L,8,0))</f>
        <v/>
      </c>
      <c r="H932" s="1" t="str">
        <f t="shared" si="73"/>
        <v/>
      </c>
      <c r="I932" s="1"/>
      <c r="J932" s="1" t="str">
        <f t="shared" si="74"/>
        <v/>
      </c>
    </row>
    <row r="933" spans="1:10" x14ac:dyDescent="0.2">
      <c r="A933" s="1" t="str">
        <f t="shared" si="70"/>
        <v/>
      </c>
      <c r="B933" s="1"/>
      <c r="C933" s="15" t="str">
        <f t="shared" ca="1" si="71"/>
        <v/>
      </c>
      <c r="D933" s="1" t="str">
        <f>IF(ISBLANK(B933),"",VLOOKUP(B933,formules!E:F,2,0))</f>
        <v/>
      </c>
      <c r="E933" s="1" t="str">
        <f t="shared" si="72"/>
        <v/>
      </c>
      <c r="F933" s="17" t="str">
        <f>IF(ISBLANK(B933),"",VLOOKUP(B933,formules!E:K,7,0))</f>
        <v/>
      </c>
      <c r="G933" s="17" t="str">
        <f>IF(ISBLANK(B933),"",VLOOKUP(B933,formules!E:L,8,0))</f>
        <v/>
      </c>
      <c r="H933" s="1" t="str">
        <f t="shared" si="73"/>
        <v/>
      </c>
      <c r="I933" s="1"/>
      <c r="J933" s="1" t="str">
        <f t="shared" si="74"/>
        <v/>
      </c>
    </row>
    <row r="934" spans="1:10" x14ac:dyDescent="0.2">
      <c r="A934" s="1" t="str">
        <f t="shared" si="70"/>
        <v/>
      </c>
      <c r="B934" s="1"/>
      <c r="C934" s="15" t="str">
        <f t="shared" ca="1" si="71"/>
        <v/>
      </c>
      <c r="D934" s="1" t="str">
        <f>IF(ISBLANK(B934),"",VLOOKUP(B934,formules!E:F,2,0))</f>
        <v/>
      </c>
      <c r="E934" s="1" t="str">
        <f t="shared" si="72"/>
        <v/>
      </c>
      <c r="F934" s="17" t="str">
        <f>IF(ISBLANK(B934),"",VLOOKUP(B934,formules!E:K,7,0))</f>
        <v/>
      </c>
      <c r="G934" s="17" t="str">
        <f>IF(ISBLANK(B934),"",VLOOKUP(B934,formules!E:L,8,0))</f>
        <v/>
      </c>
      <c r="H934" s="1" t="str">
        <f t="shared" si="73"/>
        <v/>
      </c>
      <c r="I934" s="1"/>
      <c r="J934" s="1" t="str">
        <f t="shared" si="74"/>
        <v/>
      </c>
    </row>
    <row r="935" spans="1:10" x14ac:dyDescent="0.2">
      <c r="A935" s="1" t="str">
        <f t="shared" si="70"/>
        <v/>
      </c>
      <c r="B935" s="1"/>
      <c r="C935" s="15" t="str">
        <f t="shared" ca="1" si="71"/>
        <v/>
      </c>
      <c r="D935" s="1" t="str">
        <f>IF(ISBLANK(B935),"",VLOOKUP(B935,formules!E:F,2,0))</f>
        <v/>
      </c>
      <c r="E935" s="1" t="str">
        <f t="shared" si="72"/>
        <v/>
      </c>
      <c r="F935" s="17" t="str">
        <f>IF(ISBLANK(B935),"",VLOOKUP(B935,formules!E:K,7,0))</f>
        <v/>
      </c>
      <c r="G935" s="17" t="str">
        <f>IF(ISBLANK(B935),"",VLOOKUP(B935,formules!E:L,8,0))</f>
        <v/>
      </c>
      <c r="H935" s="1" t="str">
        <f t="shared" si="73"/>
        <v/>
      </c>
      <c r="I935" s="1"/>
      <c r="J935" s="1" t="str">
        <f t="shared" si="74"/>
        <v/>
      </c>
    </row>
    <row r="936" spans="1:10" x14ac:dyDescent="0.2">
      <c r="A936" s="1" t="str">
        <f t="shared" si="70"/>
        <v/>
      </c>
      <c r="B936" s="1"/>
      <c r="C936" s="15" t="str">
        <f t="shared" ca="1" si="71"/>
        <v/>
      </c>
      <c r="D936" s="1" t="str">
        <f>IF(ISBLANK(B936),"",VLOOKUP(B936,formules!E:F,2,0))</f>
        <v/>
      </c>
      <c r="E936" s="1" t="str">
        <f t="shared" si="72"/>
        <v/>
      </c>
      <c r="F936" s="17" t="str">
        <f>IF(ISBLANK(B936),"",VLOOKUP(B936,formules!E:K,7,0))</f>
        <v/>
      </c>
      <c r="G936" s="17" t="str">
        <f>IF(ISBLANK(B936),"",VLOOKUP(B936,formules!E:L,8,0))</f>
        <v/>
      </c>
      <c r="H936" s="1" t="str">
        <f t="shared" si="73"/>
        <v/>
      </c>
      <c r="I936" s="1"/>
      <c r="J936" s="1" t="str">
        <f t="shared" si="74"/>
        <v/>
      </c>
    </row>
    <row r="937" spans="1:10" x14ac:dyDescent="0.2">
      <c r="A937" s="1" t="str">
        <f t="shared" si="70"/>
        <v/>
      </c>
      <c r="B937" s="1"/>
      <c r="C937" s="15" t="str">
        <f t="shared" ca="1" si="71"/>
        <v/>
      </c>
      <c r="D937" s="1" t="str">
        <f>IF(ISBLANK(B937),"",VLOOKUP(B937,formules!E:F,2,0))</f>
        <v/>
      </c>
      <c r="E937" s="1" t="str">
        <f t="shared" si="72"/>
        <v/>
      </c>
      <c r="F937" s="17" t="str">
        <f>IF(ISBLANK(B937),"",VLOOKUP(B937,formules!E:K,7,0))</f>
        <v/>
      </c>
      <c r="G937" s="17" t="str">
        <f>IF(ISBLANK(B937),"",VLOOKUP(B937,formules!E:L,8,0))</f>
        <v/>
      </c>
      <c r="H937" s="1" t="str">
        <f t="shared" si="73"/>
        <v/>
      </c>
      <c r="I937" s="1"/>
      <c r="J937" s="1" t="str">
        <f t="shared" si="74"/>
        <v/>
      </c>
    </row>
    <row r="938" spans="1:10" x14ac:dyDescent="0.2">
      <c r="A938" s="1" t="str">
        <f t="shared" si="70"/>
        <v/>
      </c>
      <c r="B938" s="1"/>
      <c r="C938" s="15" t="str">
        <f t="shared" ca="1" si="71"/>
        <v/>
      </c>
      <c r="D938" s="1" t="str">
        <f>IF(ISBLANK(B938),"",VLOOKUP(B938,formules!E:F,2,0))</f>
        <v/>
      </c>
      <c r="E938" s="1" t="str">
        <f t="shared" si="72"/>
        <v/>
      </c>
      <c r="F938" s="17" t="str">
        <f>IF(ISBLANK(B938),"",VLOOKUP(B938,formules!E:K,7,0))</f>
        <v/>
      </c>
      <c r="G938" s="17" t="str">
        <f>IF(ISBLANK(B938),"",VLOOKUP(B938,formules!E:L,8,0))</f>
        <v/>
      </c>
      <c r="H938" s="1" t="str">
        <f t="shared" si="73"/>
        <v/>
      </c>
      <c r="I938" s="1"/>
      <c r="J938" s="1" t="str">
        <f t="shared" si="74"/>
        <v/>
      </c>
    </row>
    <row r="939" spans="1:10" x14ac:dyDescent="0.2">
      <c r="A939" s="1" t="str">
        <f t="shared" si="70"/>
        <v/>
      </c>
      <c r="B939" s="1"/>
      <c r="C939" s="15" t="str">
        <f t="shared" ca="1" si="71"/>
        <v/>
      </c>
      <c r="D939" s="1" t="str">
        <f>IF(ISBLANK(B939),"",VLOOKUP(B939,formules!E:F,2,0))</f>
        <v/>
      </c>
      <c r="E939" s="1" t="str">
        <f t="shared" si="72"/>
        <v/>
      </c>
      <c r="F939" s="17" t="str">
        <f>IF(ISBLANK(B939),"",VLOOKUP(B939,formules!E:K,7,0))</f>
        <v/>
      </c>
      <c r="G939" s="17" t="str">
        <f>IF(ISBLANK(B939),"",VLOOKUP(B939,formules!E:L,8,0))</f>
        <v/>
      </c>
      <c r="H939" s="1" t="str">
        <f t="shared" si="73"/>
        <v/>
      </c>
      <c r="I939" s="1"/>
      <c r="J939" s="1" t="str">
        <f t="shared" si="74"/>
        <v/>
      </c>
    </row>
    <row r="940" spans="1:10" x14ac:dyDescent="0.2">
      <c r="A940" s="1" t="str">
        <f t="shared" si="70"/>
        <v/>
      </c>
      <c r="B940" s="1"/>
      <c r="C940" s="15" t="str">
        <f t="shared" ca="1" si="71"/>
        <v/>
      </c>
      <c r="D940" s="1" t="str">
        <f>IF(ISBLANK(B940),"",VLOOKUP(B940,formules!E:F,2,0))</f>
        <v/>
      </c>
      <c r="E940" s="1" t="str">
        <f t="shared" si="72"/>
        <v/>
      </c>
      <c r="F940" s="17" t="str">
        <f>IF(ISBLANK(B940),"",VLOOKUP(B940,formules!E:K,7,0))</f>
        <v/>
      </c>
      <c r="G940" s="17" t="str">
        <f>IF(ISBLANK(B940),"",VLOOKUP(B940,formules!E:L,8,0))</f>
        <v/>
      </c>
      <c r="H940" s="1" t="str">
        <f t="shared" si="73"/>
        <v/>
      </c>
      <c r="I940" s="1"/>
      <c r="J940" s="1" t="str">
        <f t="shared" si="74"/>
        <v/>
      </c>
    </row>
    <row r="941" spans="1:10" x14ac:dyDescent="0.2">
      <c r="A941" s="1" t="str">
        <f t="shared" si="70"/>
        <v/>
      </c>
      <c r="B941" s="1"/>
      <c r="C941" s="15" t="str">
        <f t="shared" ca="1" si="71"/>
        <v/>
      </c>
      <c r="D941" s="1" t="str">
        <f>IF(ISBLANK(B941),"",VLOOKUP(B941,formules!E:F,2,0))</f>
        <v/>
      </c>
      <c r="E941" s="1" t="str">
        <f t="shared" si="72"/>
        <v/>
      </c>
      <c r="F941" s="17" t="str">
        <f>IF(ISBLANK(B941),"",VLOOKUP(B941,formules!E:K,7,0))</f>
        <v/>
      </c>
      <c r="G941" s="17" t="str">
        <f>IF(ISBLANK(B941),"",VLOOKUP(B941,formules!E:L,8,0))</f>
        <v/>
      </c>
      <c r="H941" s="1" t="str">
        <f t="shared" si="73"/>
        <v/>
      </c>
      <c r="I941" s="1"/>
      <c r="J941" s="1" t="str">
        <f t="shared" si="74"/>
        <v/>
      </c>
    </row>
    <row r="942" spans="1:10" x14ac:dyDescent="0.2">
      <c r="A942" s="1" t="str">
        <f t="shared" si="70"/>
        <v/>
      </c>
      <c r="B942" s="1"/>
      <c r="C942" s="15" t="str">
        <f t="shared" ca="1" si="71"/>
        <v/>
      </c>
      <c r="D942" s="1" t="str">
        <f>IF(ISBLANK(B942),"",VLOOKUP(B942,formules!E:F,2,0))</f>
        <v/>
      </c>
      <c r="E942" s="1" t="str">
        <f t="shared" si="72"/>
        <v/>
      </c>
      <c r="F942" s="17" t="str">
        <f>IF(ISBLANK(B942),"",VLOOKUP(B942,formules!E:K,7,0))</f>
        <v/>
      </c>
      <c r="G942" s="17" t="str">
        <f>IF(ISBLANK(B942),"",VLOOKUP(B942,formules!E:L,8,0))</f>
        <v/>
      </c>
      <c r="H942" s="1" t="str">
        <f t="shared" si="73"/>
        <v/>
      </c>
      <c r="I942" s="1"/>
      <c r="J942" s="1" t="str">
        <f t="shared" si="74"/>
        <v/>
      </c>
    </row>
    <row r="943" spans="1:10" x14ac:dyDescent="0.2">
      <c r="A943" s="1" t="str">
        <f t="shared" si="70"/>
        <v/>
      </c>
      <c r="B943" s="1"/>
      <c r="C943" s="15" t="str">
        <f t="shared" ca="1" si="71"/>
        <v/>
      </c>
      <c r="D943" s="1" t="str">
        <f>IF(ISBLANK(B943),"",VLOOKUP(B943,formules!E:F,2,0))</f>
        <v/>
      </c>
      <c r="E943" s="1" t="str">
        <f t="shared" si="72"/>
        <v/>
      </c>
      <c r="F943" s="17" t="str">
        <f>IF(ISBLANK(B943),"",VLOOKUP(B943,formules!E:K,7,0))</f>
        <v/>
      </c>
      <c r="G943" s="17" t="str">
        <f>IF(ISBLANK(B943),"",VLOOKUP(B943,formules!E:L,8,0))</f>
        <v/>
      </c>
      <c r="H943" s="1" t="str">
        <f t="shared" si="73"/>
        <v/>
      </c>
      <c r="I943" s="1"/>
      <c r="J943" s="1" t="str">
        <f t="shared" si="74"/>
        <v/>
      </c>
    </row>
    <row r="944" spans="1:10" x14ac:dyDescent="0.2">
      <c r="A944" s="1" t="str">
        <f t="shared" si="70"/>
        <v/>
      </c>
      <c r="B944" s="1"/>
      <c r="C944" s="15" t="str">
        <f t="shared" ca="1" si="71"/>
        <v/>
      </c>
      <c r="D944" s="1" t="str">
        <f>IF(ISBLANK(B944),"",VLOOKUP(B944,formules!E:F,2,0))</f>
        <v/>
      </c>
      <c r="E944" s="1" t="str">
        <f t="shared" si="72"/>
        <v/>
      </c>
      <c r="F944" s="17" t="str">
        <f>IF(ISBLANK(B944),"",VLOOKUP(B944,formules!E:K,7,0))</f>
        <v/>
      </c>
      <c r="G944" s="17" t="str">
        <f>IF(ISBLANK(B944),"",VLOOKUP(B944,formules!E:L,8,0))</f>
        <v/>
      </c>
      <c r="H944" s="1" t="str">
        <f t="shared" si="73"/>
        <v/>
      </c>
      <c r="I944" s="1"/>
      <c r="J944" s="1" t="str">
        <f t="shared" si="74"/>
        <v/>
      </c>
    </row>
    <row r="945" spans="1:10" x14ac:dyDescent="0.2">
      <c r="A945" s="1" t="str">
        <f t="shared" si="70"/>
        <v/>
      </c>
      <c r="B945" s="1"/>
      <c r="C945" s="15" t="str">
        <f t="shared" ca="1" si="71"/>
        <v/>
      </c>
      <c r="D945" s="1" t="str">
        <f>IF(ISBLANK(B945),"",VLOOKUP(B945,formules!E:F,2,0))</f>
        <v/>
      </c>
      <c r="E945" s="1" t="str">
        <f t="shared" si="72"/>
        <v/>
      </c>
      <c r="F945" s="17" t="str">
        <f>IF(ISBLANK(B945),"",VLOOKUP(B945,formules!E:K,7,0))</f>
        <v/>
      </c>
      <c r="G945" s="17" t="str">
        <f>IF(ISBLANK(B945),"",VLOOKUP(B945,formules!E:L,8,0))</f>
        <v/>
      </c>
      <c r="H945" s="1" t="str">
        <f t="shared" si="73"/>
        <v/>
      </c>
      <c r="I945" s="1"/>
      <c r="J945" s="1" t="str">
        <f t="shared" si="74"/>
        <v/>
      </c>
    </row>
    <row r="946" spans="1:10" x14ac:dyDescent="0.2">
      <c r="A946" s="1" t="str">
        <f t="shared" si="70"/>
        <v/>
      </c>
      <c r="B946" s="1"/>
      <c r="C946" s="15" t="str">
        <f t="shared" ca="1" si="71"/>
        <v/>
      </c>
      <c r="D946" s="1" t="str">
        <f>IF(ISBLANK(B946),"",VLOOKUP(B946,formules!E:F,2,0))</f>
        <v/>
      </c>
      <c r="E946" s="1" t="str">
        <f t="shared" si="72"/>
        <v/>
      </c>
      <c r="F946" s="17" t="str">
        <f>IF(ISBLANK(B946),"",VLOOKUP(B946,formules!E:K,7,0))</f>
        <v/>
      </c>
      <c r="G946" s="17" t="str">
        <f>IF(ISBLANK(B946),"",VLOOKUP(B946,formules!E:L,8,0))</f>
        <v/>
      </c>
      <c r="H946" s="1" t="str">
        <f t="shared" si="73"/>
        <v/>
      </c>
      <c r="I946" s="1"/>
      <c r="J946" s="1" t="str">
        <f t="shared" si="74"/>
        <v/>
      </c>
    </row>
    <row r="947" spans="1:10" x14ac:dyDescent="0.2">
      <c r="A947" s="1" t="str">
        <f t="shared" si="70"/>
        <v/>
      </c>
      <c r="B947" s="1"/>
      <c r="C947" s="15" t="str">
        <f t="shared" ca="1" si="71"/>
        <v/>
      </c>
      <c r="D947" s="1" t="str">
        <f>IF(ISBLANK(B947),"",VLOOKUP(B947,formules!E:F,2,0))</f>
        <v/>
      </c>
      <c r="E947" s="1" t="str">
        <f t="shared" si="72"/>
        <v/>
      </c>
      <c r="F947" s="17" t="str">
        <f>IF(ISBLANK(B947),"",VLOOKUP(B947,formules!E:K,7,0))</f>
        <v/>
      </c>
      <c r="G947" s="17" t="str">
        <f>IF(ISBLANK(B947),"",VLOOKUP(B947,formules!E:L,8,0))</f>
        <v/>
      </c>
      <c r="H947" s="1" t="str">
        <f t="shared" si="73"/>
        <v/>
      </c>
      <c r="I947" s="1"/>
      <c r="J947" s="1" t="str">
        <f t="shared" si="74"/>
        <v/>
      </c>
    </row>
    <row r="948" spans="1:10" x14ac:dyDescent="0.2">
      <c r="A948" s="1" t="str">
        <f t="shared" si="70"/>
        <v/>
      </c>
      <c r="B948" s="1"/>
      <c r="C948" s="15" t="str">
        <f t="shared" ca="1" si="71"/>
        <v/>
      </c>
      <c r="D948" s="1" t="str">
        <f>IF(ISBLANK(B948),"",VLOOKUP(B948,formules!E:F,2,0))</f>
        <v/>
      </c>
      <c r="E948" s="1" t="str">
        <f t="shared" si="72"/>
        <v/>
      </c>
      <c r="F948" s="17" t="str">
        <f>IF(ISBLANK(B948),"",VLOOKUP(B948,formules!E:K,7,0))</f>
        <v/>
      </c>
      <c r="G948" s="17" t="str">
        <f>IF(ISBLANK(B948),"",VLOOKUP(B948,formules!E:L,8,0))</f>
        <v/>
      </c>
      <c r="H948" s="1" t="str">
        <f t="shared" si="73"/>
        <v/>
      </c>
      <c r="I948" s="1"/>
      <c r="J948" s="1" t="str">
        <f t="shared" si="74"/>
        <v/>
      </c>
    </row>
    <row r="949" spans="1:10" x14ac:dyDescent="0.2">
      <c r="A949" s="1" t="str">
        <f t="shared" si="70"/>
        <v/>
      </c>
      <c r="B949" s="1"/>
      <c r="C949" s="15" t="str">
        <f t="shared" ca="1" si="71"/>
        <v/>
      </c>
      <c r="D949" s="1" t="str">
        <f>IF(ISBLANK(B949),"",VLOOKUP(B949,formules!E:F,2,0))</f>
        <v/>
      </c>
      <c r="E949" s="1" t="str">
        <f t="shared" si="72"/>
        <v/>
      </c>
      <c r="F949" s="17" t="str">
        <f>IF(ISBLANK(B949),"",VLOOKUP(B949,formules!E:K,7,0))</f>
        <v/>
      </c>
      <c r="G949" s="17" t="str">
        <f>IF(ISBLANK(B949),"",VLOOKUP(B949,formules!E:L,8,0))</f>
        <v/>
      </c>
      <c r="H949" s="1" t="str">
        <f t="shared" si="73"/>
        <v/>
      </c>
      <c r="I949" s="1"/>
      <c r="J949" s="1" t="str">
        <f t="shared" si="74"/>
        <v/>
      </c>
    </row>
    <row r="950" spans="1:10" x14ac:dyDescent="0.2">
      <c r="A950" s="1" t="str">
        <f t="shared" si="70"/>
        <v/>
      </c>
      <c r="B950" s="1"/>
      <c r="C950" s="15" t="str">
        <f t="shared" ca="1" si="71"/>
        <v/>
      </c>
      <c r="D950" s="1" t="str">
        <f>IF(ISBLANK(B950),"",VLOOKUP(B950,formules!E:F,2,0))</f>
        <v/>
      </c>
      <c r="E950" s="1" t="str">
        <f t="shared" si="72"/>
        <v/>
      </c>
      <c r="F950" s="17" t="str">
        <f>IF(ISBLANK(B950),"",VLOOKUP(B950,formules!E:K,7,0))</f>
        <v/>
      </c>
      <c r="G950" s="17" t="str">
        <f>IF(ISBLANK(B950),"",VLOOKUP(B950,formules!E:L,8,0))</f>
        <v/>
      </c>
      <c r="H950" s="1" t="str">
        <f t="shared" si="73"/>
        <v/>
      </c>
      <c r="I950" s="1"/>
      <c r="J950" s="1" t="str">
        <f t="shared" si="74"/>
        <v/>
      </c>
    </row>
    <row r="951" spans="1:10" x14ac:dyDescent="0.2">
      <c r="A951" s="1" t="str">
        <f t="shared" si="70"/>
        <v/>
      </c>
      <c r="B951" s="1"/>
      <c r="C951" s="15" t="str">
        <f t="shared" ca="1" si="71"/>
        <v/>
      </c>
      <c r="D951" s="1" t="str">
        <f>IF(ISBLANK(B951),"",VLOOKUP(B951,formules!E:F,2,0))</f>
        <v/>
      </c>
      <c r="E951" s="1" t="str">
        <f t="shared" si="72"/>
        <v/>
      </c>
      <c r="F951" s="17" t="str">
        <f>IF(ISBLANK(B951),"",VLOOKUP(B951,formules!E:K,7,0))</f>
        <v/>
      </c>
      <c r="G951" s="17" t="str">
        <f>IF(ISBLANK(B951),"",VLOOKUP(B951,formules!E:L,8,0))</f>
        <v/>
      </c>
      <c r="H951" s="1" t="str">
        <f t="shared" si="73"/>
        <v/>
      </c>
      <c r="I951" s="1"/>
      <c r="J951" s="1" t="str">
        <f t="shared" si="74"/>
        <v/>
      </c>
    </row>
    <row r="952" spans="1:10" x14ac:dyDescent="0.2">
      <c r="A952" s="1" t="str">
        <f t="shared" si="70"/>
        <v/>
      </c>
      <c r="B952" s="1"/>
      <c r="C952" s="15" t="str">
        <f t="shared" ca="1" si="71"/>
        <v/>
      </c>
      <c r="D952" s="1" t="str">
        <f>IF(ISBLANK(B952),"",VLOOKUP(B952,formules!E:F,2,0))</f>
        <v/>
      </c>
      <c r="E952" s="1" t="str">
        <f t="shared" si="72"/>
        <v/>
      </c>
      <c r="F952" s="17" t="str">
        <f>IF(ISBLANK(B952),"",VLOOKUP(B952,formules!E:K,7,0))</f>
        <v/>
      </c>
      <c r="G952" s="17" t="str">
        <f>IF(ISBLANK(B952),"",VLOOKUP(B952,formules!E:L,8,0))</f>
        <v/>
      </c>
      <c r="H952" s="1" t="str">
        <f t="shared" si="73"/>
        <v/>
      </c>
      <c r="I952" s="1"/>
      <c r="J952" s="1" t="str">
        <f t="shared" si="74"/>
        <v/>
      </c>
    </row>
    <row r="953" spans="1:10" x14ac:dyDescent="0.2">
      <c r="A953" s="1" t="str">
        <f t="shared" si="70"/>
        <v/>
      </c>
      <c r="B953" s="1"/>
      <c r="C953" s="15" t="str">
        <f t="shared" ca="1" si="71"/>
        <v/>
      </c>
      <c r="D953" s="1" t="str">
        <f>IF(ISBLANK(B953),"",VLOOKUP(B953,formules!E:F,2,0))</f>
        <v/>
      </c>
      <c r="E953" s="1" t="str">
        <f t="shared" si="72"/>
        <v/>
      </c>
      <c r="F953" s="17" t="str">
        <f>IF(ISBLANK(B953),"",VLOOKUP(B953,formules!E:K,7,0))</f>
        <v/>
      </c>
      <c r="G953" s="17" t="str">
        <f>IF(ISBLANK(B953),"",VLOOKUP(B953,formules!E:L,8,0))</f>
        <v/>
      </c>
      <c r="H953" s="1" t="str">
        <f t="shared" si="73"/>
        <v/>
      </c>
      <c r="I953" s="1"/>
      <c r="J953" s="1" t="str">
        <f t="shared" si="74"/>
        <v/>
      </c>
    </row>
    <row r="954" spans="1:10" x14ac:dyDescent="0.2">
      <c r="A954" s="1" t="str">
        <f t="shared" si="70"/>
        <v/>
      </c>
      <c r="B954" s="1"/>
      <c r="C954" s="15" t="str">
        <f t="shared" ca="1" si="71"/>
        <v/>
      </c>
      <c r="D954" s="1" t="str">
        <f>IF(ISBLANK(B954),"",VLOOKUP(B954,formules!E:F,2,0))</f>
        <v/>
      </c>
      <c r="E954" s="1" t="str">
        <f t="shared" si="72"/>
        <v/>
      </c>
      <c r="F954" s="17" t="str">
        <f>IF(ISBLANK(B954),"",VLOOKUP(B954,formules!E:K,7,0))</f>
        <v/>
      </c>
      <c r="G954" s="17" t="str">
        <f>IF(ISBLANK(B954),"",VLOOKUP(B954,formules!E:L,8,0))</f>
        <v/>
      </c>
      <c r="H954" s="1" t="str">
        <f t="shared" si="73"/>
        <v/>
      </c>
      <c r="I954" s="1"/>
      <c r="J954" s="1" t="str">
        <f t="shared" si="74"/>
        <v/>
      </c>
    </row>
    <row r="955" spans="1:10" x14ac:dyDescent="0.2">
      <c r="A955" s="1" t="str">
        <f t="shared" si="70"/>
        <v/>
      </c>
      <c r="B955" s="1"/>
      <c r="C955" s="15" t="str">
        <f t="shared" ca="1" si="71"/>
        <v/>
      </c>
      <c r="D955" s="1" t="str">
        <f>IF(ISBLANK(B955),"",VLOOKUP(B955,formules!E:F,2,0))</f>
        <v/>
      </c>
      <c r="E955" s="1" t="str">
        <f t="shared" si="72"/>
        <v/>
      </c>
      <c r="F955" s="17" t="str">
        <f>IF(ISBLANK(B955),"",VLOOKUP(B955,formules!E:K,7,0))</f>
        <v/>
      </c>
      <c r="G955" s="17" t="str">
        <f>IF(ISBLANK(B955),"",VLOOKUP(B955,formules!E:L,8,0))</f>
        <v/>
      </c>
      <c r="H955" s="1" t="str">
        <f t="shared" si="73"/>
        <v/>
      </c>
      <c r="I955" s="1"/>
      <c r="J955" s="1" t="str">
        <f t="shared" si="74"/>
        <v/>
      </c>
    </row>
    <row r="956" spans="1:10" x14ac:dyDescent="0.2">
      <c r="A956" s="1" t="str">
        <f t="shared" si="70"/>
        <v/>
      </c>
      <c r="B956" s="1"/>
      <c r="C956" s="15" t="str">
        <f t="shared" ca="1" si="71"/>
        <v/>
      </c>
      <c r="D956" s="1" t="str">
        <f>IF(ISBLANK(B956),"",VLOOKUP(B956,formules!E:F,2,0))</f>
        <v/>
      </c>
      <c r="E956" s="1" t="str">
        <f t="shared" si="72"/>
        <v/>
      </c>
      <c r="F956" s="17" t="str">
        <f>IF(ISBLANK(B956),"",VLOOKUP(B956,formules!E:K,7,0))</f>
        <v/>
      </c>
      <c r="G956" s="17" t="str">
        <f>IF(ISBLANK(B956),"",VLOOKUP(B956,formules!E:L,8,0))</f>
        <v/>
      </c>
      <c r="H956" s="1" t="str">
        <f t="shared" si="73"/>
        <v/>
      </c>
      <c r="I956" s="1"/>
      <c r="J956" s="1" t="str">
        <f t="shared" si="74"/>
        <v/>
      </c>
    </row>
    <row r="957" spans="1:10" x14ac:dyDescent="0.2">
      <c r="A957" s="1" t="str">
        <f t="shared" si="70"/>
        <v/>
      </c>
      <c r="B957" s="1"/>
      <c r="C957" s="15" t="str">
        <f t="shared" ca="1" si="71"/>
        <v/>
      </c>
      <c r="D957" s="1" t="str">
        <f>IF(ISBLANK(B957),"",VLOOKUP(B957,formules!E:F,2,0))</f>
        <v/>
      </c>
      <c r="E957" s="1" t="str">
        <f t="shared" si="72"/>
        <v/>
      </c>
      <c r="F957" s="17" t="str">
        <f>IF(ISBLANK(B957),"",VLOOKUP(B957,formules!E:K,7,0))</f>
        <v/>
      </c>
      <c r="G957" s="17" t="str">
        <f>IF(ISBLANK(B957),"",VLOOKUP(B957,formules!E:L,8,0))</f>
        <v/>
      </c>
      <c r="H957" s="1" t="str">
        <f t="shared" si="73"/>
        <v/>
      </c>
      <c r="I957" s="1"/>
      <c r="J957" s="1" t="str">
        <f t="shared" si="74"/>
        <v/>
      </c>
    </row>
    <row r="958" spans="1:10" x14ac:dyDescent="0.2">
      <c r="A958" s="1" t="str">
        <f t="shared" si="70"/>
        <v/>
      </c>
      <c r="B958" s="1"/>
      <c r="C958" s="15" t="str">
        <f t="shared" ca="1" si="71"/>
        <v/>
      </c>
      <c r="D958" s="1" t="str">
        <f>IF(ISBLANK(B958),"",VLOOKUP(B958,formules!E:F,2,0))</f>
        <v/>
      </c>
      <c r="E958" s="1" t="str">
        <f t="shared" si="72"/>
        <v/>
      </c>
      <c r="F958" s="17" t="str">
        <f>IF(ISBLANK(B958),"",VLOOKUP(B958,formules!E:K,7,0))</f>
        <v/>
      </c>
      <c r="G958" s="17" t="str">
        <f>IF(ISBLANK(B958),"",VLOOKUP(B958,formules!E:L,8,0))</f>
        <v/>
      </c>
      <c r="H958" s="1" t="str">
        <f t="shared" si="73"/>
        <v/>
      </c>
      <c r="I958" s="1"/>
      <c r="J958" s="1" t="str">
        <f t="shared" si="74"/>
        <v/>
      </c>
    </row>
    <row r="959" spans="1:10" x14ac:dyDescent="0.2">
      <c r="A959" s="1" t="str">
        <f t="shared" si="70"/>
        <v/>
      </c>
      <c r="B959" s="1"/>
      <c r="C959" s="15" t="str">
        <f t="shared" ca="1" si="71"/>
        <v/>
      </c>
      <c r="D959" s="1" t="str">
        <f>IF(ISBLANK(B959),"",VLOOKUP(B959,formules!E:F,2,0))</f>
        <v/>
      </c>
      <c r="E959" s="1" t="str">
        <f t="shared" si="72"/>
        <v/>
      </c>
      <c r="F959" s="17" t="str">
        <f>IF(ISBLANK(B959),"",VLOOKUP(B959,formules!E:K,7,0))</f>
        <v/>
      </c>
      <c r="G959" s="17" t="str">
        <f>IF(ISBLANK(B959),"",VLOOKUP(B959,formules!E:L,8,0))</f>
        <v/>
      </c>
      <c r="H959" s="1" t="str">
        <f t="shared" si="73"/>
        <v/>
      </c>
      <c r="I959" s="1"/>
      <c r="J959" s="1" t="str">
        <f t="shared" si="74"/>
        <v/>
      </c>
    </row>
    <row r="960" spans="1:10" x14ac:dyDescent="0.2">
      <c r="A960" s="1" t="str">
        <f t="shared" si="70"/>
        <v/>
      </c>
      <c r="B960" s="1"/>
      <c r="C960" s="15" t="str">
        <f t="shared" ca="1" si="71"/>
        <v/>
      </c>
      <c r="D960" s="1" t="str">
        <f>IF(ISBLANK(B960),"",VLOOKUP(B960,formules!E:F,2,0))</f>
        <v/>
      </c>
      <c r="E960" s="1" t="str">
        <f t="shared" si="72"/>
        <v/>
      </c>
      <c r="F960" s="17" t="str">
        <f>IF(ISBLANK(B960),"",VLOOKUP(B960,formules!E:K,7,0))</f>
        <v/>
      </c>
      <c r="G960" s="17" t="str">
        <f>IF(ISBLANK(B960),"",VLOOKUP(B960,formules!E:L,8,0))</f>
        <v/>
      </c>
      <c r="H960" s="1" t="str">
        <f t="shared" si="73"/>
        <v/>
      </c>
      <c r="I960" s="1"/>
      <c r="J960" s="1" t="str">
        <f t="shared" si="74"/>
        <v/>
      </c>
    </row>
    <row r="961" spans="1:10" x14ac:dyDescent="0.2">
      <c r="A961" s="1" t="str">
        <f t="shared" si="70"/>
        <v/>
      </c>
      <c r="B961" s="1"/>
      <c r="C961" s="15" t="str">
        <f t="shared" ca="1" si="71"/>
        <v/>
      </c>
      <c r="D961" s="1" t="str">
        <f>IF(ISBLANK(B961),"",VLOOKUP(B961,formules!E:F,2,0))</f>
        <v/>
      </c>
      <c r="E961" s="1" t="str">
        <f t="shared" si="72"/>
        <v/>
      </c>
      <c r="F961" s="17" t="str">
        <f>IF(ISBLANK(B961),"",VLOOKUP(B961,formules!E:K,7,0))</f>
        <v/>
      </c>
      <c r="G961" s="17" t="str">
        <f>IF(ISBLANK(B961),"",VLOOKUP(B961,formules!E:L,8,0))</f>
        <v/>
      </c>
      <c r="H961" s="1" t="str">
        <f t="shared" si="73"/>
        <v/>
      </c>
      <c r="I961" s="1"/>
      <c r="J961" s="1" t="str">
        <f t="shared" si="74"/>
        <v/>
      </c>
    </row>
    <row r="962" spans="1:10" x14ac:dyDescent="0.2">
      <c r="A962" s="1" t="str">
        <f t="shared" si="70"/>
        <v/>
      </c>
      <c r="B962" s="1"/>
      <c r="C962" s="15" t="str">
        <f t="shared" ca="1" si="71"/>
        <v/>
      </c>
      <c r="D962" s="1" t="str">
        <f>IF(ISBLANK(B962),"",VLOOKUP(B962,formules!E:F,2,0))</f>
        <v/>
      </c>
      <c r="E962" s="1" t="str">
        <f t="shared" si="72"/>
        <v/>
      </c>
      <c r="F962" s="17" t="str">
        <f>IF(ISBLANK(B962),"",VLOOKUP(B962,formules!E:K,7,0))</f>
        <v/>
      </c>
      <c r="G962" s="17" t="str">
        <f>IF(ISBLANK(B962),"",VLOOKUP(B962,formules!E:L,8,0))</f>
        <v/>
      </c>
      <c r="H962" s="1" t="str">
        <f t="shared" si="73"/>
        <v/>
      </c>
      <c r="I962" s="1"/>
      <c r="J962" s="1" t="str">
        <f t="shared" si="74"/>
        <v/>
      </c>
    </row>
    <row r="963" spans="1:10" x14ac:dyDescent="0.2">
      <c r="A963" s="1" t="str">
        <f t="shared" ref="A963:A1001" si="75">IF(ISBLANK(B963),"","variation")</f>
        <v/>
      </c>
      <c r="B963" s="1"/>
      <c r="C963" s="15" t="str">
        <f t="shared" ref="C963:C1001" ca="1" si="76">IF(ISBLANK(B963),"",RANDBETWEEN(1111111111111,9999999999999))</f>
        <v/>
      </c>
      <c r="D963" s="1" t="str">
        <f>IF(ISBLANK(B963),"",VLOOKUP(B963,formules!E:F,2,0))</f>
        <v/>
      </c>
      <c r="E963" s="1" t="str">
        <f t="shared" ref="E963:E1001" si="77">IF(ISBLANK(B963),"",1)</f>
        <v/>
      </c>
      <c r="F963" s="17" t="str">
        <f>IF(ISBLANK(B963),"",VLOOKUP(B963,formules!E:K,7,0))</f>
        <v/>
      </c>
      <c r="G963" s="17" t="str">
        <f>IF(ISBLANK(B963),"",VLOOKUP(B963,formules!E:L,8,0))</f>
        <v/>
      </c>
      <c r="H963" s="1" t="str">
        <f t="shared" ref="H963:H1001" si="78">IF(ISBLANK(B963),"","Size")</f>
        <v/>
      </c>
      <c r="I963" s="1"/>
      <c r="J963" s="1" t="str">
        <f t="shared" ref="J963:J1001" si="79">IF(ISBLANK(B963),"",1)</f>
        <v/>
      </c>
    </row>
    <row r="964" spans="1:10" x14ac:dyDescent="0.2">
      <c r="A964" s="1" t="str">
        <f t="shared" si="75"/>
        <v/>
      </c>
      <c r="B964" s="1"/>
      <c r="C964" s="15" t="str">
        <f t="shared" ca="1" si="76"/>
        <v/>
      </c>
      <c r="D964" s="1" t="str">
        <f>IF(ISBLANK(B964),"",VLOOKUP(B964,formules!E:F,2,0))</f>
        <v/>
      </c>
      <c r="E964" s="1" t="str">
        <f t="shared" si="77"/>
        <v/>
      </c>
      <c r="F964" s="17" t="str">
        <f>IF(ISBLANK(B964),"",VLOOKUP(B964,formules!E:K,7,0))</f>
        <v/>
      </c>
      <c r="G964" s="17" t="str">
        <f>IF(ISBLANK(B964),"",VLOOKUP(B964,formules!E:L,8,0))</f>
        <v/>
      </c>
      <c r="H964" s="1" t="str">
        <f t="shared" si="78"/>
        <v/>
      </c>
      <c r="I964" s="1"/>
      <c r="J964" s="1" t="str">
        <f t="shared" si="79"/>
        <v/>
      </c>
    </row>
    <row r="965" spans="1:10" x14ac:dyDescent="0.2">
      <c r="A965" s="1" t="str">
        <f t="shared" si="75"/>
        <v/>
      </c>
      <c r="B965" s="1"/>
      <c r="C965" s="15" t="str">
        <f t="shared" ca="1" si="76"/>
        <v/>
      </c>
      <c r="D965" s="1" t="str">
        <f>IF(ISBLANK(B965),"",VLOOKUP(B965,formules!E:F,2,0))</f>
        <v/>
      </c>
      <c r="E965" s="1" t="str">
        <f t="shared" si="77"/>
        <v/>
      </c>
      <c r="F965" s="17" t="str">
        <f>IF(ISBLANK(B965),"",VLOOKUP(B965,formules!E:K,7,0))</f>
        <v/>
      </c>
      <c r="G965" s="17" t="str">
        <f>IF(ISBLANK(B965),"",VLOOKUP(B965,formules!E:L,8,0))</f>
        <v/>
      </c>
      <c r="H965" s="1" t="str">
        <f t="shared" si="78"/>
        <v/>
      </c>
      <c r="I965" s="1"/>
      <c r="J965" s="1" t="str">
        <f t="shared" si="79"/>
        <v/>
      </c>
    </row>
    <row r="966" spans="1:10" x14ac:dyDescent="0.2">
      <c r="A966" s="1" t="str">
        <f t="shared" si="75"/>
        <v/>
      </c>
      <c r="B966" s="1"/>
      <c r="C966" s="15" t="str">
        <f t="shared" ca="1" si="76"/>
        <v/>
      </c>
      <c r="D966" s="1" t="str">
        <f>IF(ISBLANK(B966),"",VLOOKUP(B966,formules!E:F,2,0))</f>
        <v/>
      </c>
      <c r="E966" s="1" t="str">
        <f t="shared" si="77"/>
        <v/>
      </c>
      <c r="F966" s="17" t="str">
        <f>IF(ISBLANK(B966),"",VLOOKUP(B966,formules!E:K,7,0))</f>
        <v/>
      </c>
      <c r="G966" s="17" t="str">
        <f>IF(ISBLANK(B966),"",VLOOKUP(B966,formules!E:L,8,0))</f>
        <v/>
      </c>
      <c r="H966" s="1" t="str">
        <f t="shared" si="78"/>
        <v/>
      </c>
      <c r="I966" s="1"/>
      <c r="J966" s="1" t="str">
        <f t="shared" si="79"/>
        <v/>
      </c>
    </row>
    <row r="967" spans="1:10" x14ac:dyDescent="0.2">
      <c r="A967" s="1" t="str">
        <f t="shared" si="75"/>
        <v/>
      </c>
      <c r="B967" s="1"/>
      <c r="C967" s="15" t="str">
        <f t="shared" ca="1" si="76"/>
        <v/>
      </c>
      <c r="D967" s="1" t="str">
        <f>IF(ISBLANK(B967),"",VLOOKUP(B967,formules!E:F,2,0))</f>
        <v/>
      </c>
      <c r="E967" s="1" t="str">
        <f t="shared" si="77"/>
        <v/>
      </c>
      <c r="F967" s="17" t="str">
        <f>IF(ISBLANK(B967),"",VLOOKUP(B967,formules!E:K,7,0))</f>
        <v/>
      </c>
      <c r="G967" s="17" t="str">
        <f>IF(ISBLANK(B967),"",VLOOKUP(B967,formules!E:L,8,0))</f>
        <v/>
      </c>
      <c r="H967" s="1" t="str">
        <f t="shared" si="78"/>
        <v/>
      </c>
      <c r="I967" s="1"/>
      <c r="J967" s="1" t="str">
        <f t="shared" si="79"/>
        <v/>
      </c>
    </row>
    <row r="968" spans="1:10" x14ac:dyDescent="0.2">
      <c r="A968" s="1" t="str">
        <f t="shared" si="75"/>
        <v/>
      </c>
      <c r="B968" s="1"/>
      <c r="C968" s="15" t="str">
        <f t="shared" ca="1" si="76"/>
        <v/>
      </c>
      <c r="D968" s="1" t="str">
        <f>IF(ISBLANK(B968),"",VLOOKUP(B968,formules!E:F,2,0))</f>
        <v/>
      </c>
      <c r="E968" s="1" t="str">
        <f t="shared" si="77"/>
        <v/>
      </c>
      <c r="F968" s="17" t="str">
        <f>IF(ISBLANK(B968),"",VLOOKUP(B968,formules!E:K,7,0))</f>
        <v/>
      </c>
      <c r="G968" s="17" t="str">
        <f>IF(ISBLANK(B968),"",VLOOKUP(B968,formules!E:L,8,0))</f>
        <v/>
      </c>
      <c r="H968" s="1" t="str">
        <f t="shared" si="78"/>
        <v/>
      </c>
      <c r="I968" s="1"/>
      <c r="J968" s="1" t="str">
        <f t="shared" si="79"/>
        <v/>
      </c>
    </row>
    <row r="969" spans="1:10" x14ac:dyDescent="0.2">
      <c r="A969" s="1" t="str">
        <f t="shared" si="75"/>
        <v/>
      </c>
      <c r="B969" s="1"/>
      <c r="C969" s="15" t="str">
        <f t="shared" ca="1" si="76"/>
        <v/>
      </c>
      <c r="D969" s="1" t="str">
        <f>IF(ISBLANK(B969),"",VLOOKUP(B969,formules!E:F,2,0))</f>
        <v/>
      </c>
      <c r="E969" s="1" t="str">
        <f t="shared" si="77"/>
        <v/>
      </c>
      <c r="F969" s="17" t="str">
        <f>IF(ISBLANK(B969),"",VLOOKUP(B969,formules!E:K,7,0))</f>
        <v/>
      </c>
      <c r="G969" s="17" t="str">
        <f>IF(ISBLANK(B969),"",VLOOKUP(B969,formules!E:L,8,0))</f>
        <v/>
      </c>
      <c r="H969" s="1" t="str">
        <f t="shared" si="78"/>
        <v/>
      </c>
      <c r="I969" s="1"/>
      <c r="J969" s="1" t="str">
        <f t="shared" si="79"/>
        <v/>
      </c>
    </row>
    <row r="970" spans="1:10" x14ac:dyDescent="0.2">
      <c r="A970" s="1" t="str">
        <f t="shared" si="75"/>
        <v/>
      </c>
      <c r="B970" s="1"/>
      <c r="C970" s="15" t="str">
        <f t="shared" ca="1" si="76"/>
        <v/>
      </c>
      <c r="D970" s="1" t="str">
        <f>IF(ISBLANK(B970),"",VLOOKUP(B970,formules!E:F,2,0))</f>
        <v/>
      </c>
      <c r="E970" s="1" t="str">
        <f t="shared" si="77"/>
        <v/>
      </c>
      <c r="F970" s="17" t="str">
        <f>IF(ISBLANK(B970),"",VLOOKUP(B970,formules!E:K,7,0))</f>
        <v/>
      </c>
      <c r="G970" s="17" t="str">
        <f>IF(ISBLANK(B970),"",VLOOKUP(B970,formules!E:L,8,0))</f>
        <v/>
      </c>
      <c r="H970" s="1" t="str">
        <f t="shared" si="78"/>
        <v/>
      </c>
      <c r="I970" s="1"/>
      <c r="J970" s="1" t="str">
        <f t="shared" si="79"/>
        <v/>
      </c>
    </row>
    <row r="971" spans="1:10" x14ac:dyDescent="0.2">
      <c r="A971" s="1" t="str">
        <f t="shared" si="75"/>
        <v/>
      </c>
      <c r="B971" s="1"/>
      <c r="C971" s="15" t="str">
        <f t="shared" ca="1" si="76"/>
        <v/>
      </c>
      <c r="D971" s="1" t="str">
        <f>IF(ISBLANK(B971),"",VLOOKUP(B971,formules!E:F,2,0))</f>
        <v/>
      </c>
      <c r="E971" s="1" t="str">
        <f t="shared" si="77"/>
        <v/>
      </c>
      <c r="F971" s="17" t="str">
        <f>IF(ISBLANK(B971),"",VLOOKUP(B971,formules!E:K,7,0))</f>
        <v/>
      </c>
      <c r="G971" s="17" t="str">
        <f>IF(ISBLANK(B971),"",VLOOKUP(B971,formules!E:L,8,0))</f>
        <v/>
      </c>
      <c r="H971" s="1" t="str">
        <f t="shared" si="78"/>
        <v/>
      </c>
      <c r="I971" s="1"/>
      <c r="J971" s="1" t="str">
        <f t="shared" si="79"/>
        <v/>
      </c>
    </row>
    <row r="972" spans="1:10" x14ac:dyDescent="0.2">
      <c r="A972" s="1" t="str">
        <f t="shared" si="75"/>
        <v/>
      </c>
      <c r="B972" s="1"/>
      <c r="C972" s="15" t="str">
        <f t="shared" ca="1" si="76"/>
        <v/>
      </c>
      <c r="D972" s="1" t="str">
        <f>IF(ISBLANK(B972),"",VLOOKUP(B972,formules!E:F,2,0))</f>
        <v/>
      </c>
      <c r="E972" s="1" t="str">
        <f t="shared" si="77"/>
        <v/>
      </c>
      <c r="F972" s="17" t="str">
        <f>IF(ISBLANK(B972),"",VLOOKUP(B972,formules!E:K,7,0))</f>
        <v/>
      </c>
      <c r="G972" s="17" t="str">
        <f>IF(ISBLANK(B972),"",VLOOKUP(B972,formules!E:L,8,0))</f>
        <v/>
      </c>
      <c r="H972" s="1" t="str">
        <f t="shared" si="78"/>
        <v/>
      </c>
      <c r="I972" s="1"/>
      <c r="J972" s="1" t="str">
        <f t="shared" si="79"/>
        <v/>
      </c>
    </row>
    <row r="973" spans="1:10" x14ac:dyDescent="0.2">
      <c r="A973" s="1" t="str">
        <f t="shared" si="75"/>
        <v/>
      </c>
      <c r="B973" s="1"/>
      <c r="C973" s="15" t="str">
        <f t="shared" ca="1" si="76"/>
        <v/>
      </c>
      <c r="D973" s="1" t="str">
        <f>IF(ISBLANK(B973),"",VLOOKUP(B973,formules!E:F,2,0))</f>
        <v/>
      </c>
      <c r="E973" s="1" t="str">
        <f t="shared" si="77"/>
        <v/>
      </c>
      <c r="F973" s="17" t="str">
        <f>IF(ISBLANK(B973),"",VLOOKUP(B973,formules!E:K,7,0))</f>
        <v/>
      </c>
      <c r="G973" s="17" t="str">
        <f>IF(ISBLANK(B973),"",VLOOKUP(B973,formules!E:L,8,0))</f>
        <v/>
      </c>
      <c r="H973" s="1" t="str">
        <f t="shared" si="78"/>
        <v/>
      </c>
      <c r="I973" s="1"/>
      <c r="J973" s="1" t="str">
        <f t="shared" si="79"/>
        <v/>
      </c>
    </row>
    <row r="974" spans="1:10" x14ac:dyDescent="0.2">
      <c r="A974" s="1" t="str">
        <f t="shared" si="75"/>
        <v/>
      </c>
      <c r="B974" s="1"/>
      <c r="C974" s="15" t="str">
        <f t="shared" ca="1" si="76"/>
        <v/>
      </c>
      <c r="D974" s="1" t="str">
        <f>IF(ISBLANK(B974),"",VLOOKUP(B974,formules!E:F,2,0))</f>
        <v/>
      </c>
      <c r="E974" s="1" t="str">
        <f t="shared" si="77"/>
        <v/>
      </c>
      <c r="F974" s="17" t="str">
        <f>IF(ISBLANK(B974),"",VLOOKUP(B974,formules!E:K,7,0))</f>
        <v/>
      </c>
      <c r="G974" s="17" t="str">
        <f>IF(ISBLANK(B974),"",VLOOKUP(B974,formules!E:L,8,0))</f>
        <v/>
      </c>
      <c r="H974" s="1" t="str">
        <f t="shared" si="78"/>
        <v/>
      </c>
      <c r="I974" s="1"/>
      <c r="J974" s="1" t="str">
        <f t="shared" si="79"/>
        <v/>
      </c>
    </row>
    <row r="975" spans="1:10" x14ac:dyDescent="0.2">
      <c r="A975" s="1" t="str">
        <f t="shared" si="75"/>
        <v/>
      </c>
      <c r="B975" s="1"/>
      <c r="C975" s="15" t="str">
        <f t="shared" ca="1" si="76"/>
        <v/>
      </c>
      <c r="D975" s="1" t="str">
        <f>IF(ISBLANK(B975),"",VLOOKUP(B975,formules!E:F,2,0))</f>
        <v/>
      </c>
      <c r="E975" s="1" t="str">
        <f t="shared" si="77"/>
        <v/>
      </c>
      <c r="F975" s="17" t="str">
        <f>IF(ISBLANK(B975),"",VLOOKUP(B975,formules!E:K,7,0))</f>
        <v/>
      </c>
      <c r="G975" s="17" t="str">
        <f>IF(ISBLANK(B975),"",VLOOKUP(B975,formules!E:L,8,0))</f>
        <v/>
      </c>
      <c r="H975" s="1" t="str">
        <f t="shared" si="78"/>
        <v/>
      </c>
      <c r="I975" s="1"/>
      <c r="J975" s="1" t="str">
        <f t="shared" si="79"/>
        <v/>
      </c>
    </row>
    <row r="976" spans="1:10" x14ac:dyDescent="0.2">
      <c r="A976" s="1" t="str">
        <f t="shared" si="75"/>
        <v/>
      </c>
      <c r="B976" s="1"/>
      <c r="C976" s="15" t="str">
        <f t="shared" ca="1" si="76"/>
        <v/>
      </c>
      <c r="D976" s="1" t="str">
        <f>IF(ISBLANK(B976),"",VLOOKUP(B976,formules!E:F,2,0))</f>
        <v/>
      </c>
      <c r="E976" s="1" t="str">
        <f t="shared" si="77"/>
        <v/>
      </c>
      <c r="F976" s="17" t="str">
        <f>IF(ISBLANK(B976),"",VLOOKUP(B976,formules!E:K,7,0))</f>
        <v/>
      </c>
      <c r="G976" s="17" t="str">
        <f>IF(ISBLANK(B976),"",VLOOKUP(B976,formules!E:L,8,0))</f>
        <v/>
      </c>
      <c r="H976" s="1" t="str">
        <f t="shared" si="78"/>
        <v/>
      </c>
      <c r="I976" s="1"/>
      <c r="J976" s="1" t="str">
        <f t="shared" si="79"/>
        <v/>
      </c>
    </row>
    <row r="977" spans="1:10" x14ac:dyDescent="0.2">
      <c r="A977" s="1" t="str">
        <f t="shared" si="75"/>
        <v/>
      </c>
      <c r="B977" s="1"/>
      <c r="C977" s="15" t="str">
        <f t="shared" ca="1" si="76"/>
        <v/>
      </c>
      <c r="D977" s="1" t="str">
        <f>IF(ISBLANK(B977),"",VLOOKUP(B977,formules!E:F,2,0))</f>
        <v/>
      </c>
      <c r="E977" s="1" t="str">
        <f t="shared" si="77"/>
        <v/>
      </c>
      <c r="F977" s="17" t="str">
        <f>IF(ISBLANK(B977),"",VLOOKUP(B977,formules!E:K,7,0))</f>
        <v/>
      </c>
      <c r="G977" s="17" t="str">
        <f>IF(ISBLANK(B977),"",VLOOKUP(B977,formules!E:L,8,0))</f>
        <v/>
      </c>
      <c r="H977" s="1" t="str">
        <f t="shared" si="78"/>
        <v/>
      </c>
      <c r="I977" s="1"/>
      <c r="J977" s="1" t="str">
        <f t="shared" si="79"/>
        <v/>
      </c>
    </row>
    <row r="978" spans="1:10" x14ac:dyDescent="0.2">
      <c r="A978" s="1" t="str">
        <f t="shared" si="75"/>
        <v/>
      </c>
      <c r="B978" s="1"/>
      <c r="C978" s="15" t="str">
        <f t="shared" ca="1" si="76"/>
        <v/>
      </c>
      <c r="D978" s="1" t="str">
        <f>IF(ISBLANK(B978),"",VLOOKUP(B978,formules!E:F,2,0))</f>
        <v/>
      </c>
      <c r="E978" s="1" t="str">
        <f t="shared" si="77"/>
        <v/>
      </c>
      <c r="F978" s="17" t="str">
        <f>IF(ISBLANK(B978),"",VLOOKUP(B978,formules!E:K,7,0))</f>
        <v/>
      </c>
      <c r="G978" s="17" t="str">
        <f>IF(ISBLANK(B978),"",VLOOKUP(B978,formules!E:L,8,0))</f>
        <v/>
      </c>
      <c r="H978" s="1" t="str">
        <f t="shared" si="78"/>
        <v/>
      </c>
      <c r="I978" s="1"/>
      <c r="J978" s="1" t="str">
        <f t="shared" si="79"/>
        <v/>
      </c>
    </row>
    <row r="979" spans="1:10" x14ac:dyDescent="0.2">
      <c r="A979" s="1" t="str">
        <f t="shared" si="75"/>
        <v/>
      </c>
      <c r="B979" s="1"/>
      <c r="C979" s="15" t="str">
        <f t="shared" ca="1" si="76"/>
        <v/>
      </c>
      <c r="D979" s="1" t="str">
        <f>IF(ISBLANK(B979),"",VLOOKUP(B979,formules!E:F,2,0))</f>
        <v/>
      </c>
      <c r="E979" s="1" t="str">
        <f t="shared" si="77"/>
        <v/>
      </c>
      <c r="F979" s="17" t="str">
        <f>IF(ISBLANK(B979),"",VLOOKUP(B979,formules!E:K,7,0))</f>
        <v/>
      </c>
      <c r="G979" s="17" t="str">
        <f>IF(ISBLANK(B979),"",VLOOKUP(B979,formules!E:L,8,0))</f>
        <v/>
      </c>
      <c r="H979" s="1" t="str">
        <f t="shared" si="78"/>
        <v/>
      </c>
      <c r="I979" s="1"/>
      <c r="J979" s="1" t="str">
        <f t="shared" si="79"/>
        <v/>
      </c>
    </row>
    <row r="980" spans="1:10" x14ac:dyDescent="0.2">
      <c r="A980" s="1" t="str">
        <f t="shared" si="75"/>
        <v/>
      </c>
      <c r="B980" s="1"/>
      <c r="C980" s="15" t="str">
        <f t="shared" ca="1" si="76"/>
        <v/>
      </c>
      <c r="D980" s="1" t="str">
        <f>IF(ISBLANK(B980),"",VLOOKUP(B980,formules!E:F,2,0))</f>
        <v/>
      </c>
      <c r="E980" s="1" t="str">
        <f t="shared" si="77"/>
        <v/>
      </c>
      <c r="F980" s="17" t="str">
        <f>IF(ISBLANK(B980),"",VLOOKUP(B980,formules!E:K,7,0))</f>
        <v/>
      </c>
      <c r="G980" s="17" t="str">
        <f>IF(ISBLANK(B980),"",VLOOKUP(B980,formules!E:L,8,0))</f>
        <v/>
      </c>
      <c r="H980" s="1" t="str">
        <f t="shared" si="78"/>
        <v/>
      </c>
      <c r="I980" s="1"/>
      <c r="J980" s="1" t="str">
        <f t="shared" si="79"/>
        <v/>
      </c>
    </row>
    <row r="981" spans="1:10" x14ac:dyDescent="0.2">
      <c r="A981" s="1" t="str">
        <f t="shared" si="75"/>
        <v/>
      </c>
      <c r="B981" s="1"/>
      <c r="C981" s="15" t="str">
        <f t="shared" ca="1" si="76"/>
        <v/>
      </c>
      <c r="D981" s="1" t="str">
        <f>IF(ISBLANK(B981),"",VLOOKUP(B981,formules!E:F,2,0))</f>
        <v/>
      </c>
      <c r="E981" s="1" t="str">
        <f t="shared" si="77"/>
        <v/>
      </c>
      <c r="F981" s="17" t="str">
        <f>IF(ISBLANK(B981),"",VLOOKUP(B981,formules!E:K,7,0))</f>
        <v/>
      </c>
      <c r="G981" s="17" t="str">
        <f>IF(ISBLANK(B981),"",VLOOKUP(B981,formules!E:L,8,0))</f>
        <v/>
      </c>
      <c r="H981" s="1" t="str">
        <f t="shared" si="78"/>
        <v/>
      </c>
      <c r="I981" s="1"/>
      <c r="J981" s="1" t="str">
        <f t="shared" si="79"/>
        <v/>
      </c>
    </row>
    <row r="982" spans="1:10" x14ac:dyDescent="0.2">
      <c r="A982" s="1" t="str">
        <f t="shared" si="75"/>
        <v/>
      </c>
      <c r="B982" s="1"/>
      <c r="C982" s="15" t="str">
        <f t="shared" ca="1" si="76"/>
        <v/>
      </c>
      <c r="D982" s="1" t="str">
        <f>IF(ISBLANK(B982),"",VLOOKUP(B982,formules!E:F,2,0))</f>
        <v/>
      </c>
      <c r="E982" s="1" t="str">
        <f t="shared" si="77"/>
        <v/>
      </c>
      <c r="F982" s="17" t="str">
        <f>IF(ISBLANK(B982),"",VLOOKUP(B982,formules!E:K,7,0))</f>
        <v/>
      </c>
      <c r="G982" s="17" t="str">
        <f>IF(ISBLANK(B982),"",VLOOKUP(B982,formules!E:L,8,0))</f>
        <v/>
      </c>
      <c r="H982" s="1" t="str">
        <f t="shared" si="78"/>
        <v/>
      </c>
      <c r="I982" s="1"/>
      <c r="J982" s="1" t="str">
        <f t="shared" si="79"/>
        <v/>
      </c>
    </row>
    <row r="983" spans="1:10" x14ac:dyDescent="0.2">
      <c r="A983" s="1" t="str">
        <f t="shared" si="75"/>
        <v/>
      </c>
      <c r="B983" s="1"/>
      <c r="C983" s="15" t="str">
        <f t="shared" ca="1" si="76"/>
        <v/>
      </c>
      <c r="D983" s="1" t="str">
        <f>IF(ISBLANK(B983),"",VLOOKUP(B983,formules!E:F,2,0))</f>
        <v/>
      </c>
      <c r="E983" s="1" t="str">
        <f t="shared" si="77"/>
        <v/>
      </c>
      <c r="F983" s="17" t="str">
        <f>IF(ISBLANK(B983),"",VLOOKUP(B983,formules!E:K,7,0))</f>
        <v/>
      </c>
      <c r="G983" s="17" t="str">
        <f>IF(ISBLANK(B983),"",VLOOKUP(B983,formules!E:L,8,0))</f>
        <v/>
      </c>
      <c r="H983" s="1" t="str">
        <f t="shared" si="78"/>
        <v/>
      </c>
      <c r="I983" s="1"/>
      <c r="J983" s="1" t="str">
        <f t="shared" si="79"/>
        <v/>
      </c>
    </row>
    <row r="984" spans="1:10" x14ac:dyDescent="0.2">
      <c r="A984" s="1" t="str">
        <f t="shared" si="75"/>
        <v/>
      </c>
      <c r="B984" s="1"/>
      <c r="C984" s="15" t="str">
        <f t="shared" ca="1" si="76"/>
        <v/>
      </c>
      <c r="D984" s="1" t="str">
        <f>IF(ISBLANK(B984),"",VLOOKUP(B984,formules!E:F,2,0))</f>
        <v/>
      </c>
      <c r="E984" s="1" t="str">
        <f t="shared" si="77"/>
        <v/>
      </c>
      <c r="F984" s="17" t="str">
        <f>IF(ISBLANK(B984),"",VLOOKUP(B984,formules!E:K,7,0))</f>
        <v/>
      </c>
      <c r="G984" s="17" t="str">
        <f>IF(ISBLANK(B984),"",VLOOKUP(B984,formules!E:L,8,0))</f>
        <v/>
      </c>
      <c r="H984" s="1" t="str">
        <f t="shared" si="78"/>
        <v/>
      </c>
      <c r="I984" s="1"/>
      <c r="J984" s="1" t="str">
        <f t="shared" si="79"/>
        <v/>
      </c>
    </row>
    <row r="985" spans="1:10" x14ac:dyDescent="0.2">
      <c r="A985" s="1" t="str">
        <f t="shared" si="75"/>
        <v/>
      </c>
      <c r="B985" s="1"/>
      <c r="C985" s="15" t="str">
        <f t="shared" ca="1" si="76"/>
        <v/>
      </c>
      <c r="D985" s="1" t="str">
        <f>IF(ISBLANK(B985),"",VLOOKUP(B985,formules!E:F,2,0))</f>
        <v/>
      </c>
      <c r="E985" s="1" t="str">
        <f t="shared" si="77"/>
        <v/>
      </c>
      <c r="F985" s="17" t="str">
        <f>IF(ISBLANK(B985),"",VLOOKUP(B985,formules!E:K,7,0))</f>
        <v/>
      </c>
      <c r="G985" s="17" t="str">
        <f>IF(ISBLANK(B985),"",VLOOKUP(B985,formules!E:L,8,0))</f>
        <v/>
      </c>
      <c r="H985" s="1" t="str">
        <f t="shared" si="78"/>
        <v/>
      </c>
      <c r="I985" s="1"/>
      <c r="J985" s="1" t="str">
        <f t="shared" si="79"/>
        <v/>
      </c>
    </row>
    <row r="986" spans="1:10" x14ac:dyDescent="0.2">
      <c r="A986" s="1" t="str">
        <f t="shared" si="75"/>
        <v/>
      </c>
      <c r="B986" s="1"/>
      <c r="C986" s="15" t="str">
        <f t="shared" ca="1" si="76"/>
        <v/>
      </c>
      <c r="D986" s="1" t="str">
        <f>IF(ISBLANK(B986),"",VLOOKUP(B986,formules!E:F,2,0))</f>
        <v/>
      </c>
      <c r="E986" s="1" t="str">
        <f t="shared" si="77"/>
        <v/>
      </c>
      <c r="F986" s="17" t="str">
        <f>IF(ISBLANK(B986),"",VLOOKUP(B986,formules!E:K,7,0))</f>
        <v/>
      </c>
      <c r="G986" s="17" t="str">
        <f>IF(ISBLANK(B986),"",VLOOKUP(B986,formules!E:L,8,0))</f>
        <v/>
      </c>
      <c r="H986" s="1" t="str">
        <f t="shared" si="78"/>
        <v/>
      </c>
      <c r="I986" s="1"/>
      <c r="J986" s="1" t="str">
        <f t="shared" si="79"/>
        <v/>
      </c>
    </row>
    <row r="987" spans="1:10" x14ac:dyDescent="0.2">
      <c r="A987" s="1" t="str">
        <f t="shared" si="75"/>
        <v/>
      </c>
      <c r="B987" s="1"/>
      <c r="C987" s="15" t="str">
        <f t="shared" ca="1" si="76"/>
        <v/>
      </c>
      <c r="D987" s="1" t="str">
        <f>IF(ISBLANK(B987),"",VLOOKUP(B987,formules!E:F,2,0))</f>
        <v/>
      </c>
      <c r="E987" s="1" t="str">
        <f t="shared" si="77"/>
        <v/>
      </c>
      <c r="F987" s="17" t="str">
        <f>IF(ISBLANK(B987),"",VLOOKUP(B987,formules!E:K,7,0))</f>
        <v/>
      </c>
      <c r="G987" s="17" t="str">
        <f>IF(ISBLANK(B987),"",VLOOKUP(B987,formules!E:L,8,0))</f>
        <v/>
      </c>
      <c r="H987" s="1" t="str">
        <f t="shared" si="78"/>
        <v/>
      </c>
      <c r="I987" s="1"/>
      <c r="J987" s="1" t="str">
        <f t="shared" si="79"/>
        <v/>
      </c>
    </row>
    <row r="988" spans="1:10" x14ac:dyDescent="0.2">
      <c r="A988" s="1" t="str">
        <f t="shared" si="75"/>
        <v/>
      </c>
      <c r="B988" s="1"/>
      <c r="C988" s="15" t="str">
        <f t="shared" ca="1" si="76"/>
        <v/>
      </c>
      <c r="D988" s="1" t="str">
        <f>IF(ISBLANK(B988),"",VLOOKUP(B988,formules!E:F,2,0))</f>
        <v/>
      </c>
      <c r="E988" s="1" t="str">
        <f t="shared" si="77"/>
        <v/>
      </c>
      <c r="F988" s="17" t="str">
        <f>IF(ISBLANK(B988),"",VLOOKUP(B988,formules!E:K,7,0))</f>
        <v/>
      </c>
      <c r="G988" s="17" t="str">
        <f>IF(ISBLANK(B988),"",VLOOKUP(B988,formules!E:L,8,0))</f>
        <v/>
      </c>
      <c r="H988" s="1" t="str">
        <f t="shared" si="78"/>
        <v/>
      </c>
      <c r="I988" s="1"/>
      <c r="J988" s="1" t="str">
        <f t="shared" si="79"/>
        <v/>
      </c>
    </row>
    <row r="989" spans="1:10" x14ac:dyDescent="0.2">
      <c r="A989" s="1" t="str">
        <f t="shared" si="75"/>
        <v/>
      </c>
      <c r="B989" s="1"/>
      <c r="C989" s="15" t="str">
        <f t="shared" ca="1" si="76"/>
        <v/>
      </c>
      <c r="D989" s="1" t="str">
        <f>IF(ISBLANK(B989),"",VLOOKUP(B989,formules!E:F,2,0))</f>
        <v/>
      </c>
      <c r="E989" s="1" t="str">
        <f t="shared" si="77"/>
        <v/>
      </c>
      <c r="F989" s="17" t="str">
        <f>IF(ISBLANK(B989),"",VLOOKUP(B989,formules!E:K,7,0))</f>
        <v/>
      </c>
      <c r="G989" s="17" t="str">
        <f>IF(ISBLANK(B989),"",VLOOKUP(B989,formules!E:L,8,0))</f>
        <v/>
      </c>
      <c r="H989" s="1" t="str">
        <f t="shared" si="78"/>
        <v/>
      </c>
      <c r="I989" s="1"/>
      <c r="J989" s="1" t="str">
        <f t="shared" si="79"/>
        <v/>
      </c>
    </row>
    <row r="990" spans="1:10" x14ac:dyDescent="0.2">
      <c r="A990" s="1" t="str">
        <f t="shared" si="75"/>
        <v/>
      </c>
      <c r="B990" s="1"/>
      <c r="C990" s="15" t="str">
        <f t="shared" ca="1" si="76"/>
        <v/>
      </c>
      <c r="D990" s="1" t="str">
        <f>IF(ISBLANK(B990),"",VLOOKUP(B990,formules!E:F,2,0))</f>
        <v/>
      </c>
      <c r="E990" s="1" t="str">
        <f t="shared" si="77"/>
        <v/>
      </c>
      <c r="F990" s="17" t="str">
        <f>IF(ISBLANK(B990),"",VLOOKUP(B990,formules!E:K,7,0))</f>
        <v/>
      </c>
      <c r="G990" s="17" t="str">
        <f>IF(ISBLANK(B990),"",VLOOKUP(B990,formules!E:L,8,0))</f>
        <v/>
      </c>
      <c r="H990" s="1" t="str">
        <f t="shared" si="78"/>
        <v/>
      </c>
      <c r="I990" s="1"/>
      <c r="J990" s="1" t="str">
        <f t="shared" si="79"/>
        <v/>
      </c>
    </row>
    <row r="991" spans="1:10" x14ac:dyDescent="0.2">
      <c r="A991" s="1" t="str">
        <f t="shared" si="75"/>
        <v/>
      </c>
      <c r="B991" s="1"/>
      <c r="C991" s="15" t="str">
        <f t="shared" ca="1" si="76"/>
        <v/>
      </c>
      <c r="D991" s="1" t="str">
        <f>IF(ISBLANK(B991),"",VLOOKUP(B991,formules!E:F,2,0))</f>
        <v/>
      </c>
      <c r="E991" s="1" t="str">
        <f t="shared" si="77"/>
        <v/>
      </c>
      <c r="F991" s="17" t="str">
        <f>IF(ISBLANK(B991),"",VLOOKUP(B991,formules!E:K,7,0))</f>
        <v/>
      </c>
      <c r="G991" s="17" t="str">
        <f>IF(ISBLANK(B991),"",VLOOKUP(B991,formules!E:L,8,0))</f>
        <v/>
      </c>
      <c r="H991" s="1" t="str">
        <f t="shared" si="78"/>
        <v/>
      </c>
      <c r="I991" s="1"/>
      <c r="J991" s="1" t="str">
        <f t="shared" si="79"/>
        <v/>
      </c>
    </row>
    <row r="992" spans="1:10" x14ac:dyDescent="0.2">
      <c r="A992" s="1" t="str">
        <f t="shared" si="75"/>
        <v/>
      </c>
      <c r="B992" s="1"/>
      <c r="C992" s="15" t="str">
        <f t="shared" ca="1" si="76"/>
        <v/>
      </c>
      <c r="D992" s="1" t="str">
        <f>IF(ISBLANK(B992),"",VLOOKUP(B992,formules!E:F,2,0))</f>
        <v/>
      </c>
      <c r="E992" s="1" t="str">
        <f t="shared" si="77"/>
        <v/>
      </c>
      <c r="F992" s="17" t="str">
        <f>IF(ISBLANK(B992),"",VLOOKUP(B992,formules!E:K,7,0))</f>
        <v/>
      </c>
      <c r="G992" s="17" t="str">
        <f>IF(ISBLANK(B992),"",VLOOKUP(B992,formules!E:L,8,0))</f>
        <v/>
      </c>
      <c r="H992" s="1" t="str">
        <f t="shared" si="78"/>
        <v/>
      </c>
      <c r="I992" s="1"/>
      <c r="J992" s="1" t="str">
        <f t="shared" si="79"/>
        <v/>
      </c>
    </row>
    <row r="993" spans="1:10" x14ac:dyDescent="0.2">
      <c r="A993" s="1" t="str">
        <f t="shared" si="75"/>
        <v/>
      </c>
      <c r="B993" s="1"/>
      <c r="C993" s="15" t="str">
        <f t="shared" ca="1" si="76"/>
        <v/>
      </c>
      <c r="D993" s="1" t="str">
        <f>IF(ISBLANK(B993),"",VLOOKUP(B993,formules!E:F,2,0))</f>
        <v/>
      </c>
      <c r="E993" s="1" t="str">
        <f t="shared" si="77"/>
        <v/>
      </c>
      <c r="F993" s="17" t="str">
        <f>IF(ISBLANK(B993),"",VLOOKUP(B993,formules!E:K,7,0))</f>
        <v/>
      </c>
      <c r="G993" s="17" t="str">
        <f>IF(ISBLANK(B993),"",VLOOKUP(B993,formules!E:L,8,0))</f>
        <v/>
      </c>
      <c r="H993" s="1" t="str">
        <f t="shared" si="78"/>
        <v/>
      </c>
      <c r="I993" s="1"/>
      <c r="J993" s="1" t="str">
        <f t="shared" si="79"/>
        <v/>
      </c>
    </row>
    <row r="994" spans="1:10" x14ac:dyDescent="0.2">
      <c r="A994" s="1" t="str">
        <f t="shared" si="75"/>
        <v/>
      </c>
      <c r="B994" s="1"/>
      <c r="C994" s="15" t="str">
        <f t="shared" ca="1" si="76"/>
        <v/>
      </c>
      <c r="D994" s="1" t="str">
        <f>IF(ISBLANK(B994),"",VLOOKUP(B994,formules!E:F,2,0))</f>
        <v/>
      </c>
      <c r="E994" s="1" t="str">
        <f t="shared" si="77"/>
        <v/>
      </c>
      <c r="F994" s="17" t="str">
        <f>IF(ISBLANK(B994),"",VLOOKUP(B994,formules!E:K,7,0))</f>
        <v/>
      </c>
      <c r="G994" s="17" t="str">
        <f>IF(ISBLANK(B994),"",VLOOKUP(B994,formules!E:L,8,0))</f>
        <v/>
      </c>
      <c r="H994" s="1" t="str">
        <f t="shared" si="78"/>
        <v/>
      </c>
      <c r="I994" s="1"/>
      <c r="J994" s="1" t="str">
        <f t="shared" si="79"/>
        <v/>
      </c>
    </row>
    <row r="995" spans="1:10" x14ac:dyDescent="0.2">
      <c r="A995" s="1" t="str">
        <f t="shared" si="75"/>
        <v/>
      </c>
      <c r="B995" s="1"/>
      <c r="C995" s="15" t="str">
        <f t="shared" ca="1" si="76"/>
        <v/>
      </c>
      <c r="D995" s="1" t="str">
        <f>IF(ISBLANK(B995),"",VLOOKUP(B995,formules!E:F,2,0))</f>
        <v/>
      </c>
      <c r="E995" s="1" t="str">
        <f t="shared" si="77"/>
        <v/>
      </c>
      <c r="F995" s="17" t="str">
        <f>IF(ISBLANK(B995),"",VLOOKUP(B995,formules!E:K,7,0))</f>
        <v/>
      </c>
      <c r="G995" s="17" t="str">
        <f>IF(ISBLANK(B995),"",VLOOKUP(B995,formules!E:L,8,0))</f>
        <v/>
      </c>
      <c r="H995" s="1" t="str">
        <f t="shared" si="78"/>
        <v/>
      </c>
      <c r="I995" s="1"/>
      <c r="J995" s="1" t="str">
        <f t="shared" si="79"/>
        <v/>
      </c>
    </row>
    <row r="996" spans="1:10" x14ac:dyDescent="0.2">
      <c r="A996" s="1" t="str">
        <f t="shared" si="75"/>
        <v/>
      </c>
      <c r="B996" s="1"/>
      <c r="C996" s="15" t="str">
        <f t="shared" ca="1" si="76"/>
        <v/>
      </c>
      <c r="D996" s="1" t="str">
        <f>IF(ISBLANK(B996),"",VLOOKUP(B996,formules!E:F,2,0))</f>
        <v/>
      </c>
      <c r="E996" s="1" t="str">
        <f t="shared" si="77"/>
        <v/>
      </c>
      <c r="F996" s="17" t="str">
        <f>IF(ISBLANK(B996),"",VLOOKUP(B996,formules!E:K,7,0))</f>
        <v/>
      </c>
      <c r="G996" s="17" t="str">
        <f>IF(ISBLANK(B996),"",VLOOKUP(B996,formules!E:L,8,0))</f>
        <v/>
      </c>
      <c r="H996" s="1" t="str">
        <f t="shared" si="78"/>
        <v/>
      </c>
      <c r="I996" s="1"/>
      <c r="J996" s="1" t="str">
        <f t="shared" si="79"/>
        <v/>
      </c>
    </row>
    <row r="997" spans="1:10" x14ac:dyDescent="0.2">
      <c r="A997" s="1" t="str">
        <f t="shared" si="75"/>
        <v/>
      </c>
      <c r="B997" s="1"/>
      <c r="C997" s="15" t="str">
        <f t="shared" ca="1" si="76"/>
        <v/>
      </c>
      <c r="D997" s="1" t="str">
        <f>IF(ISBLANK(B997),"",VLOOKUP(B997,formules!E:F,2,0))</f>
        <v/>
      </c>
      <c r="E997" s="1" t="str">
        <f t="shared" si="77"/>
        <v/>
      </c>
      <c r="F997" s="17" t="str">
        <f>IF(ISBLANK(B997),"",VLOOKUP(B997,formules!E:K,7,0))</f>
        <v/>
      </c>
      <c r="G997" s="17" t="str">
        <f>IF(ISBLANK(B997),"",VLOOKUP(B997,formules!E:L,8,0))</f>
        <v/>
      </c>
      <c r="H997" s="1" t="str">
        <f t="shared" si="78"/>
        <v/>
      </c>
      <c r="I997" s="1"/>
      <c r="J997" s="1" t="str">
        <f t="shared" si="79"/>
        <v/>
      </c>
    </row>
    <row r="998" spans="1:10" x14ac:dyDescent="0.2">
      <c r="A998" s="1" t="str">
        <f t="shared" si="75"/>
        <v/>
      </c>
      <c r="B998" s="1"/>
      <c r="C998" s="15" t="str">
        <f t="shared" ca="1" si="76"/>
        <v/>
      </c>
      <c r="D998" s="1" t="str">
        <f>IF(ISBLANK(B998),"",VLOOKUP(B998,formules!E:F,2,0))</f>
        <v/>
      </c>
      <c r="E998" s="1" t="str">
        <f t="shared" si="77"/>
        <v/>
      </c>
      <c r="F998" s="17" t="str">
        <f>IF(ISBLANK(B998),"",VLOOKUP(B998,formules!E:K,7,0))</f>
        <v/>
      </c>
      <c r="G998" s="17" t="str">
        <f>IF(ISBLANK(B998),"",VLOOKUP(B998,formules!E:L,8,0))</f>
        <v/>
      </c>
      <c r="H998" s="1" t="str">
        <f t="shared" si="78"/>
        <v/>
      </c>
      <c r="I998" s="1"/>
      <c r="J998" s="1" t="str">
        <f t="shared" si="79"/>
        <v/>
      </c>
    </row>
    <row r="999" spans="1:10" x14ac:dyDescent="0.2">
      <c r="A999" s="1" t="str">
        <f t="shared" si="75"/>
        <v/>
      </c>
      <c r="B999" s="1"/>
      <c r="C999" s="15" t="str">
        <f t="shared" ca="1" si="76"/>
        <v/>
      </c>
      <c r="D999" s="1" t="str">
        <f>IF(ISBLANK(B999),"",VLOOKUP(B999,formules!E:F,2,0))</f>
        <v/>
      </c>
      <c r="E999" s="1" t="str">
        <f t="shared" si="77"/>
        <v/>
      </c>
      <c r="F999" s="17" t="str">
        <f>IF(ISBLANK(B999),"",VLOOKUP(B999,formules!E:K,7,0))</f>
        <v/>
      </c>
      <c r="G999" s="17" t="str">
        <f>IF(ISBLANK(B999),"",VLOOKUP(B999,formules!E:L,8,0))</f>
        <v/>
      </c>
      <c r="H999" s="1" t="str">
        <f t="shared" si="78"/>
        <v/>
      </c>
      <c r="I999" s="1"/>
      <c r="J999" s="1" t="str">
        <f t="shared" si="79"/>
        <v/>
      </c>
    </row>
    <row r="1000" spans="1:10" x14ac:dyDescent="0.2">
      <c r="A1000" s="1" t="str">
        <f t="shared" si="75"/>
        <v/>
      </c>
      <c r="B1000" s="1"/>
      <c r="C1000" s="15" t="str">
        <f t="shared" ca="1" si="76"/>
        <v/>
      </c>
      <c r="D1000" s="1" t="str">
        <f>IF(ISBLANK(B1000),"",VLOOKUP(B1000,formules!E:F,2,0))</f>
        <v/>
      </c>
      <c r="E1000" s="1" t="str">
        <f t="shared" si="77"/>
        <v/>
      </c>
      <c r="F1000" s="17" t="str">
        <f>IF(ISBLANK(B1000),"",VLOOKUP(B1000,formules!E:K,7,0))</f>
        <v/>
      </c>
      <c r="G1000" s="17" t="str">
        <f>IF(ISBLANK(B1000),"",VLOOKUP(B1000,formules!E:L,8,0))</f>
        <v/>
      </c>
      <c r="H1000" s="1" t="str">
        <f t="shared" si="78"/>
        <v/>
      </c>
      <c r="I1000" s="1"/>
      <c r="J1000" s="1" t="str">
        <f t="shared" si="79"/>
        <v/>
      </c>
    </row>
    <row r="1001" spans="1:10" x14ac:dyDescent="0.2">
      <c r="A1001" s="1" t="str">
        <f t="shared" si="75"/>
        <v/>
      </c>
      <c r="B1001" s="1"/>
      <c r="C1001" s="15" t="str">
        <f t="shared" ca="1" si="76"/>
        <v/>
      </c>
      <c r="D1001" s="1" t="str">
        <f>IF(ISBLANK(B1001),"",VLOOKUP(B1001,formules!E:F,2,0))</f>
        <v/>
      </c>
      <c r="E1001" s="1" t="str">
        <f t="shared" si="77"/>
        <v/>
      </c>
      <c r="F1001" s="17" t="str">
        <f>IF(ISBLANK(B1001),"",VLOOKUP(B1001,formules!E:K,7,0))</f>
        <v/>
      </c>
      <c r="G1001" s="17" t="str">
        <f>IF(ISBLANK(B1001),"",VLOOKUP(B1001,formules!E:L,8,0))</f>
        <v/>
      </c>
      <c r="H1001" s="1" t="str">
        <f t="shared" si="78"/>
        <v/>
      </c>
      <c r="I1001" s="1"/>
      <c r="J1001" s="1" t="str">
        <f t="shared" si="79"/>
        <v/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products</vt:lpstr>
      <vt:lpstr>formules</vt:lpstr>
      <vt:lpstr>variable</vt:lpstr>
      <vt:lpstr>variation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Sefa Bulak</dc:creator>
  <cp:lastModifiedBy>Sefa Bulak</cp:lastModifiedBy>
  <dcterms:created xsi:type="dcterms:W3CDTF">2024-08-01T09:17:00Z</dcterms:created>
  <dcterms:modified xsi:type="dcterms:W3CDTF">2024-08-14T00:13:35Z</dcterms:modified>
</cp:coreProperties>
</file>